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EstaPasta_de_trabalho"/>
  <mc:AlternateContent xmlns:mc="http://schemas.openxmlformats.org/markup-compatibility/2006">
    <mc:Choice Requires="x15">
      <x15ac:absPath xmlns:x15ac="http://schemas.microsoft.com/office/spreadsheetml/2010/11/ac" url="Z:\_Qualidade\TROCAS\LDN - Trocas Não Autorizadas\"/>
    </mc:Choice>
  </mc:AlternateContent>
  <xr:revisionPtr revIDLastSave="0" documentId="13_ncr:1_{C09FDD32-9BBD-44AA-A802-CB720401722A}" xr6:coauthVersionLast="45" xr6:coauthVersionMax="45" xr10:uidLastSave="{00000000-0000-0000-0000-000000000000}"/>
  <bookViews>
    <workbookView xWindow="-120" yWindow="-120" windowWidth="21840" windowHeight="13140" tabRatio="700" activeTab="2" xr2:uid="{00000000-000D-0000-FFFF-FFFF00000000}"/>
  </bookViews>
  <sheets>
    <sheet name="INSTRUÇÕES" sheetId="6" r:id="rId1"/>
    <sheet name="CONTROLE" sheetId="3" state="hidden" r:id="rId2"/>
    <sheet name="INPUT" sheetId="4" r:id="rId3"/>
    <sheet name="DADOS" sheetId="5" r:id="rId4"/>
  </sheets>
  <definedNames>
    <definedName name="_xlnm.Print_Area" localSheetId="3">DADOS!$I$1:$P$11</definedName>
    <definedName name="_xlnm.Print_Area" localSheetId="2">INPUT!$B$2:$BF$121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3" i="5" l="1"/>
  <c r="B92" i="4"/>
  <c r="B125" i="4" l="1"/>
  <c r="F12" i="3" s="1"/>
  <c r="K12" i="3" s="1"/>
  <c r="H33" i="4" l="1"/>
  <c r="H31" i="4"/>
  <c r="H27" i="4"/>
  <c r="H19" i="4"/>
  <c r="BF27" i="4" l="1"/>
  <c r="BF84" i="4"/>
  <c r="CF18" i="4" l="1"/>
  <c r="AJ40" i="4" s="1"/>
  <c r="CI10" i="4" l="1"/>
  <c r="CG10" i="4"/>
  <c r="BF2" i="4"/>
  <c r="BF59" i="4"/>
  <c r="CG6" i="4"/>
  <c r="H13" i="4" s="1"/>
  <c r="H23" i="4" l="1"/>
  <c r="DA59" i="4"/>
  <c r="Y2" i="5" s="1"/>
  <c r="CZ61" i="4"/>
  <c r="X3" i="5" s="1"/>
  <c r="CY61" i="4"/>
  <c r="W3" i="5" s="1"/>
  <c r="CX61" i="4"/>
  <c r="V3" i="5" s="1"/>
  <c r="CW61" i="4"/>
  <c r="U3" i="5" s="1"/>
  <c r="CV61" i="4"/>
  <c r="T3" i="5" s="1"/>
  <c r="CU61" i="4"/>
  <c r="S3" i="5" s="1"/>
  <c r="CT61" i="4"/>
  <c r="R3" i="5" s="1"/>
  <c r="CS61" i="4"/>
  <c r="Q3" i="5" s="1"/>
  <c r="CR61" i="4"/>
  <c r="P3" i="5" s="1"/>
  <c r="CQ61" i="4"/>
  <c r="O3" i="5" s="1"/>
  <c r="CP61" i="4"/>
  <c r="N3" i="5" s="1"/>
  <c r="CO61" i="4"/>
  <c r="M3" i="5" s="1"/>
  <c r="CN61" i="4"/>
  <c r="L3" i="5" s="1"/>
  <c r="CM61" i="4"/>
  <c r="K3" i="5" s="1"/>
  <c r="CL61" i="4"/>
  <c r="J3" i="5" s="1"/>
  <c r="CK61" i="4"/>
  <c r="I3" i="5" s="1"/>
  <c r="CJ61" i="4"/>
  <c r="H3" i="5" s="1"/>
  <c r="CI61" i="4"/>
  <c r="G3" i="5" s="1"/>
  <c r="CH61" i="4"/>
  <c r="F3" i="5" s="1"/>
  <c r="CG61" i="4"/>
  <c r="E3" i="5" s="1"/>
  <c r="CZ59" i="4"/>
  <c r="X2" i="5" s="1"/>
  <c r="CY59" i="4"/>
  <c r="W2" i="5" s="1"/>
  <c r="CX59" i="4"/>
  <c r="V2" i="5" s="1"/>
  <c r="CW59" i="4"/>
  <c r="U2" i="5" s="1"/>
  <c r="CV59" i="4"/>
  <c r="T2" i="5" s="1"/>
  <c r="CU59" i="4"/>
  <c r="S2" i="5" s="1"/>
  <c r="CT59" i="4"/>
  <c r="R2" i="5" s="1"/>
  <c r="CS59" i="4"/>
  <c r="Q2" i="5" s="1"/>
  <c r="CR59" i="4"/>
  <c r="P2" i="5" s="1"/>
  <c r="CQ59" i="4"/>
  <c r="O2" i="5" s="1"/>
  <c r="CP59" i="4"/>
  <c r="N2" i="5" s="1"/>
  <c r="CO59" i="4"/>
  <c r="M2" i="5" s="1"/>
  <c r="CN59" i="4"/>
  <c r="L2" i="5" s="1"/>
  <c r="CM59" i="4"/>
  <c r="K2" i="5" s="1"/>
  <c r="CL59" i="4"/>
  <c r="J2" i="5" s="1"/>
  <c r="CK59" i="4"/>
  <c r="I2" i="5" s="1"/>
  <c r="CJ59" i="4"/>
  <c r="H2" i="5" s="1"/>
  <c r="CI59" i="4"/>
  <c r="G2" i="5" s="1"/>
  <c r="CH59" i="4"/>
  <c r="F2" i="5" s="1"/>
  <c r="CG59" i="4"/>
  <c r="E2" i="5" s="1"/>
  <c r="AT121" i="4" l="1"/>
  <c r="DA61" i="4" s="1"/>
  <c r="Y3" i="5" l="1"/>
  <c r="CC60" i="4"/>
  <c r="D2" i="5" l="1"/>
  <c r="D1" i="5" l="1"/>
  <c r="K1" i="3" l="1"/>
  <c r="CD61" i="4" l="1"/>
  <c r="CD64" i="4" l="1"/>
  <c r="F1" i="3"/>
</calcChain>
</file>

<file path=xl/sharedStrings.xml><?xml version="1.0" encoding="utf-8"?>
<sst xmlns="http://schemas.openxmlformats.org/spreadsheetml/2006/main" count="209" uniqueCount="161">
  <si>
    <t>-</t>
  </si>
  <si>
    <t>SETOR</t>
  </si>
  <si>
    <t>E-MAIL 1</t>
  </si>
  <si>
    <t>E-MAIL 2</t>
  </si>
  <si>
    <t>Nº Relatório</t>
  </si>
  <si>
    <t>Descrição do Produto:</t>
  </si>
  <si>
    <t>Código do Produto:</t>
  </si>
  <si>
    <t>Nº Pedido:</t>
  </si>
  <si>
    <t>Destinação:</t>
  </si>
  <si>
    <t>Data:</t>
  </si>
  <si>
    <t>NÃO ALTERAR A ESTRUTURA DA PLANILHA.
- NÃO INSERIR LINHA NEM COLUNA
- NÃO EXCLUIR LINHA NEM COLUNA</t>
  </si>
  <si>
    <t>Destinação</t>
  </si>
  <si>
    <t>Responsável pela Inspeção</t>
  </si>
  <si>
    <t>Bruno Torres</t>
  </si>
  <si>
    <t>Gustavo da Silva</t>
  </si>
  <si>
    <t>Mayra Silva</t>
  </si>
  <si>
    <t>Felipe Carvalho</t>
  </si>
  <si>
    <t>Ariane Nascimento</t>
  </si>
  <si>
    <t>Laudo de Devolução Negada</t>
  </si>
  <si>
    <t>LDN N°</t>
  </si>
  <si>
    <t>Netshoes</t>
  </si>
  <si>
    <t>NF de Venda:</t>
  </si>
  <si>
    <t>Tamanho:</t>
  </si>
  <si>
    <t>Quantidade:</t>
  </si>
  <si>
    <t>Data da Solicitação:</t>
  </si>
  <si>
    <t>ESTADO FÍSICO</t>
  </si>
  <si>
    <t>Lavagem incorreta</t>
  </si>
  <si>
    <t>Indícios de uso do produto</t>
  </si>
  <si>
    <t>Indícios de avaria na abertura da embalagem</t>
  </si>
  <si>
    <t>PERSONALIZAÇÃO</t>
  </si>
  <si>
    <t>Produto personalizado</t>
  </si>
  <si>
    <t>BRINDE</t>
  </si>
  <si>
    <t>TRANSPORTE</t>
  </si>
  <si>
    <t>Cliente aceitou a encomenda avariada</t>
  </si>
  <si>
    <t>Não enviado junto ao produto</t>
  </si>
  <si>
    <t>Indícios de uso do brinde</t>
  </si>
  <si>
    <t>Evidências Fotográficas:</t>
  </si>
  <si>
    <t>Análise Técnica Efetuada por:</t>
  </si>
  <si>
    <t>Critérios Analisados para a Negativa</t>
  </si>
  <si>
    <t>Justificativa (Detalhes da situação, análise e conclusões)</t>
  </si>
  <si>
    <t>Devolução negada e reenviada ao endereço de entrega deste pedido</t>
  </si>
  <si>
    <t>Canal de Venda</t>
  </si>
  <si>
    <t>Loja Nacional</t>
  </si>
  <si>
    <t>Loja Internacional</t>
  </si>
  <si>
    <t>Penalty</t>
  </si>
  <si>
    <t>Loja do CAP</t>
  </si>
  <si>
    <t>Loja do Bahia</t>
  </si>
  <si>
    <t>Loja do Vitória</t>
  </si>
  <si>
    <t>Coritiba Store</t>
  </si>
  <si>
    <t>B2W</t>
  </si>
  <si>
    <t>Mercado Livre</t>
  </si>
  <si>
    <t>Johnny Kawaguchi</t>
  </si>
  <si>
    <t>Soellyn Macedo</t>
  </si>
  <si>
    <t>Jacqueline Rocha</t>
  </si>
  <si>
    <t>Devolução negada e reenviada ao endereço alternativo informado pelo cliente</t>
  </si>
  <si>
    <t>Devolução autorizada após orientação da Gerência em caráter de excessão</t>
  </si>
  <si>
    <t>Devolução autorizada após orientação da Diretoria em caráter de excessão</t>
  </si>
  <si>
    <t>Devolução autorizada após orientação do SAC em caráter de excessão</t>
  </si>
  <si>
    <t>Devolução autorizada após orientação do Jurídico em caráter de excessão</t>
  </si>
  <si>
    <t>Elderson Costa</t>
  </si>
  <si>
    <t>Informe:</t>
  </si>
  <si>
    <t>Mau uso</t>
  </si>
  <si>
    <t>Canal de Venda:</t>
  </si>
  <si>
    <t>INSTRUÇÕES BÁSICAS DE USO</t>
  </si>
  <si>
    <t>1) ZELO NO PREENCHIMENTO</t>
  </si>
  <si>
    <r>
      <t xml:space="preserve">É muito comum a utilização do </t>
    </r>
    <r>
      <rPr>
        <b/>
        <u/>
        <sz val="14"/>
        <color theme="1"/>
        <rFont val="Calibri"/>
        <family val="2"/>
        <scheme val="minor"/>
      </rPr>
      <t>CTRL C / CTRL V</t>
    </r>
    <r>
      <rPr>
        <sz val="14"/>
        <color theme="1"/>
        <rFont val="Calibri"/>
        <family val="2"/>
        <scheme val="minor"/>
      </rPr>
      <t xml:space="preserve"> para preencher os dados dos Requerimentos, no entanto é importante tomar cuidado para colar apenas os valores e não a </t>
    </r>
    <r>
      <rPr>
        <b/>
        <u/>
        <sz val="14"/>
        <color theme="1"/>
        <rFont val="Calibri"/>
        <family val="2"/>
        <scheme val="minor"/>
      </rPr>
      <t>FORMATAÇÃO</t>
    </r>
    <r>
      <rPr>
        <sz val="14"/>
        <color theme="1"/>
        <rFont val="Calibri"/>
        <family val="2"/>
        <scheme val="minor"/>
      </rPr>
      <t xml:space="preserve"> do texto do arquivo de origem. A orientação é </t>
    </r>
    <r>
      <rPr>
        <b/>
        <u/>
        <sz val="14"/>
        <color theme="1"/>
        <rFont val="Calibri"/>
        <family val="2"/>
        <scheme val="minor"/>
      </rPr>
      <t>DIGITAR</t>
    </r>
    <r>
      <rPr>
        <sz val="14"/>
        <color theme="1"/>
        <rFont val="Calibri"/>
        <family val="2"/>
        <scheme val="minor"/>
      </rPr>
      <t xml:space="preserve"> os dados!</t>
    </r>
  </si>
  <si>
    <t>2) ATENÇÃO A FINALIZAÇÃO DA PLANILHA</t>
  </si>
  <si>
    <r>
      <rPr>
        <b/>
        <u/>
        <sz val="14"/>
        <color theme="1"/>
        <rFont val="Calibri"/>
        <family val="2"/>
        <scheme val="minor"/>
      </rPr>
      <t xml:space="preserve">NÃO FECHAR A PLANILHA ANTES DO PROCESSAMENTO COMPLETO DAS MACROS: </t>
    </r>
    <r>
      <rPr>
        <sz val="14"/>
        <color theme="1"/>
        <rFont val="Calibri"/>
        <family val="2"/>
        <scheme val="minor"/>
      </rPr>
      <t xml:space="preserve">Por se tratar de vários comandos simultâneos e o arquivo se encontrar no servidor, é bem possível que leve </t>
    </r>
    <r>
      <rPr>
        <b/>
        <u/>
        <sz val="14"/>
        <color theme="1"/>
        <rFont val="Calibri"/>
        <family val="2"/>
        <scheme val="minor"/>
      </rPr>
      <t>ALGUNS SEGUNDOS</t>
    </r>
    <r>
      <rPr>
        <sz val="14"/>
        <color theme="1"/>
        <rFont val="Calibri"/>
        <family val="2"/>
        <scheme val="minor"/>
      </rPr>
      <t xml:space="preserve"> para executar o ciclo completo. Fechar o arquivo </t>
    </r>
    <r>
      <rPr>
        <b/>
        <u/>
        <sz val="14"/>
        <color theme="1"/>
        <rFont val="Calibri"/>
        <family val="2"/>
        <scheme val="minor"/>
      </rPr>
      <t>APENAS</t>
    </r>
    <r>
      <rPr>
        <sz val="14"/>
        <color theme="1"/>
        <rFont val="Calibri"/>
        <family val="2"/>
        <scheme val="minor"/>
      </rPr>
      <t xml:space="preserve"> após aparição da mensagem ao lado e voltar para essa tela de instruções, tenha paciência. </t>
    </r>
    <r>
      <rPr>
        <b/>
        <i/>
        <u/>
        <sz val="14"/>
        <color theme="1"/>
        <rFont val="Calibri"/>
        <family val="2"/>
        <scheme val="minor"/>
      </rPr>
      <t>NÃO HÁ NECESSIDADE DE SALVAR O ARQUIVO!</t>
    </r>
  </si>
  <si>
    <t>3) INCLUSÃO OU EXCLUSÃO DE LINHAS E COLUNAS</t>
  </si>
  <si>
    <r>
      <t xml:space="preserve">É terminantemente </t>
    </r>
    <r>
      <rPr>
        <b/>
        <u/>
        <sz val="14"/>
        <color theme="1"/>
        <rFont val="Calibri"/>
        <family val="2"/>
        <scheme val="minor"/>
      </rPr>
      <t>PROIBIDO</t>
    </r>
    <r>
      <rPr>
        <sz val="14"/>
        <color theme="1"/>
        <rFont val="Calibri"/>
        <family val="2"/>
        <scheme val="minor"/>
      </rPr>
      <t xml:space="preserve"> a inclusão ou exclusão de linhas e colunas, além de qualquer outra </t>
    </r>
    <r>
      <rPr>
        <b/>
        <u/>
        <sz val="14"/>
        <color theme="1"/>
        <rFont val="Calibri"/>
        <family val="2"/>
        <scheme val="minor"/>
      </rPr>
      <t>EDIÇÃO</t>
    </r>
    <r>
      <rPr>
        <sz val="14"/>
        <color theme="1"/>
        <rFont val="Calibri"/>
        <family val="2"/>
        <scheme val="minor"/>
      </rPr>
      <t xml:space="preserve"> na</t>
    </r>
    <r>
      <rPr>
        <b/>
        <u/>
        <sz val="14"/>
        <color theme="1"/>
        <rFont val="Calibri"/>
        <family val="2"/>
        <scheme val="minor"/>
      </rPr>
      <t xml:space="preserve"> FORMATAÇÃO, CONTEÚDO OU DADO!</t>
    </r>
  </si>
  <si>
    <t>qualidade@futfanatics.com.br; auditoria@futcorp.com.br</t>
  </si>
  <si>
    <t>tayane.carvalho@futcorp.com.br; estoque@futcorp.com.br</t>
  </si>
  <si>
    <r>
      <t xml:space="preserve">Segundo a política de trocas e devoluções da loja, os produtos devem retornar ao Centro de Distribuição com as embalagens originais, etiquetas, sem indícios de uso e personalização. Alguns requisitos não foram cumpridos e justificados nas informações acima. A política de trocas e devoluções da FutFanatics pode ser encontrada na página da própria loja, através do link: ► </t>
    </r>
    <r>
      <rPr>
        <b/>
        <u/>
        <sz val="10"/>
        <rFont val="Times New Roman"/>
        <family val="1"/>
      </rPr>
      <t>https://www.futfanatics.com.br/politica-de-trocas-e-devolucoes.</t>
    </r>
  </si>
  <si>
    <t>200420130641</t>
  </si>
  <si>
    <t>Nome do Cliente:</t>
  </si>
  <si>
    <t>► https://www.futfanatics.com.br/politica-de-trocas-e-devolucoes</t>
  </si>
  <si>
    <t xml:space="preserve">          A política de trocas e devoluções da FutFanatics pode ser encontrada na página da própria loja, através do link:</t>
  </si>
  <si>
    <t>DEVOLUÇÃO NÃO AUTORIZADA</t>
  </si>
  <si>
    <t>Presidente Prudente/SP,</t>
  </si>
  <si>
    <t xml:space="preserve">          Prezado(a), </t>
  </si>
  <si>
    <t xml:space="preserve">, referente ao produto </t>
  </si>
  <si>
    <t>Textos</t>
  </si>
  <si>
    <t>MAU USO</t>
  </si>
  <si>
    <t>LAVAGEM INCORRETA</t>
  </si>
  <si>
    <t>INDICIO DE USO DO PRODUTO</t>
  </si>
  <si>
    <t>INDICIO DE AVARIA NA ABERTURA DA EMBALAGEM</t>
  </si>
  <si>
    <t>PRODUTO PERSONALIZADO</t>
  </si>
  <si>
    <t>NÃO ENVIADO JUNTO AO PRODUTO</t>
  </si>
  <si>
    <t>INDICIO DO USO DO BRINDE</t>
  </si>
  <si>
    <t>CLIENTE ACEITOU A ENCOMENDA AVARIADA</t>
  </si>
  <si>
    <t>O produto foi remetido para análise no setor da Qualidade e identificado que a avaria ocorreu no momento de abertura da embalagem, uma vez que o cliente não informa ter recebido a mesma violada no ato da entrega. Portanto descaracterizamos a avaria no transporte e concluímos com a recusa nesta solicitação de devolução.</t>
  </si>
  <si>
    <t>O produto foi remetido para análise no setor da Qualidade e identificado que o brinde, item composto ao produto solicitado na compra, não foi encaminhado à FutFanatics. Dado que o produto deve retornar em condições de venda e com todos os seus componentes, concluímos com a recusa nesta solicitação de devolução.</t>
  </si>
  <si>
    <t>O produto foi remetido para análise no setor da Qualidade e identificado no brinde indícios de uso oriundo do consumidor, uma vez que para autorização de uma troca ou devolução o produto deve retornar à FutFanatics em condições de venda, pré-requisito não atendido pelo mesmo.</t>
  </si>
  <si>
    <t>A solicitação foi remetida para análise no setor da Qualidade e identificado que o cliente informa ter recebido a embalagem violada, porém aceitando o recebimento com o risco de haver uma avaria no seu pedido. Dado que o mesmo não seguiu as orientações de recusa, informadas no site e embalagem, concluímos com a recusa nesta solicitação de devolução.</t>
  </si>
  <si>
    <t>Observações:</t>
  </si>
  <si>
    <t>O produto foi remetido ao setor de Controle de Qualidade da empresa para análise, ocasião em que foi identificado que o defeito questionado decorre, na verdade, de mau uso do produto, uma vez que as normas de preservação do produto não foram cumpridas. Assim, não se trata de um defeito de fabricação.</t>
  </si>
  <si>
    <t>O produto foi remetido ao setor de Controle de Qualidade da empresa para análise, ocasião em que foi identificado que o defeito questionado decorre, na verdade, de mau uso do produto, uma vez que não foram observadas as normas técnicas e orientações para lavagem do produto. Assim, não há defeito de fabricação.</t>
  </si>
  <si>
    <t>O produto foi remetido ao setor de Controle de Qualidade da empresa para análise, ocasião em que foi identificado que o consumidor fez o uso do produto, esta atitude do consumidor afasta a possibilidade de exercício do arrependimento, pois este produto não poderá ser reconduzido à venda. Assim, por ter sido utilizado, o produto não pode ser devolvido.</t>
  </si>
  <si>
    <t>Conforme política de vendas da Loja, o produto em questão não é passível de troca ou arrependimento, razão dele estar customizado com a aplicação definitiva de informações solicitadas pelo consumidor. A razão da recusa está consubstanciada na impossibilidade desse produto retornar ao seu estado anterior e de ser reconduzido à venda.</t>
  </si>
  <si>
    <t>FUTFANATICS</t>
  </si>
  <si>
    <t xml:space="preserve"> somos imensamente gratos pela sua confiança. Buscamos incansavelmente surpreendê-lo em toda sua experiência de compra conosco, desde o momento em que acessa a nossa loja, efetua a compra e principalmente no pós-venda. </t>
  </si>
  <si>
    <t xml:space="preserve">          No entanto, não podemos fugir às nossas regras e políticas definidas no site, estas em alinhamento com o Código de Defesa do Consumidor que garantem a praticidade nas devoluções e a maior equidade possível no tratamento com todos os nossos clientes.</t>
  </si>
  <si>
    <t xml:space="preserve">          Após análise técnica do nosso setor da Qualidade, informamos que a devolução do pedido nº </t>
  </si>
  <si>
    <t>, não foi autorizada, e retornaremos o seu produto ao endereço da entrega.</t>
  </si>
  <si>
    <t xml:space="preserve">          Prezando pela transparência, segue anexo Laudo Técnico detalhando os motivos que fundamentaram a nossa decisão. Contamos com a sua compreensão nos critérios desta análise e esperamos que continue acreditando no nosso trabalho.</t>
  </si>
  <si>
    <t>OUTROS</t>
  </si>
  <si>
    <t>O produto foi remetido ao setor de Controle de Qualidade da empresa para análise e houve a recusa da realização da troca pelos motivos abaixo expostos:</t>
  </si>
  <si>
    <t>Outros</t>
  </si>
  <si>
    <t>Atenciosamente,</t>
  </si>
  <si>
    <t>cid.andorfato@futcorp.com.br; bruno.torres@futcorp.com.br; wagner@senrasouza.com.br</t>
  </si>
  <si>
    <t>contato@senrasouza.com.br</t>
  </si>
  <si>
    <t>Camisa Fluminense II 2020 Feminina</t>
  </si>
  <si>
    <t>6370765</t>
  </si>
  <si>
    <t>78341</t>
  </si>
  <si>
    <t>M</t>
  </si>
  <si>
    <t>1</t>
  </si>
  <si>
    <t>Danilo Lima Molino</t>
  </si>
  <si>
    <t>X</t>
  </si>
  <si>
    <t>300520095649</t>
  </si>
  <si>
    <t>Luva Adidas Predator Pro Vermelha</t>
  </si>
  <si>
    <t>6353493</t>
  </si>
  <si>
    <t>66609</t>
  </si>
  <si>
    <t>Cristina Pereira</t>
  </si>
  <si>
    <t>300520102524</t>
  </si>
  <si>
    <t>Tênis New Balance 373 Verde Militar</t>
  </si>
  <si>
    <t>6255547</t>
  </si>
  <si>
    <t>67384</t>
  </si>
  <si>
    <t>Fábio Santos de Souza</t>
  </si>
  <si>
    <t>300520105421</t>
  </si>
  <si>
    <t>CHINELO RESERVA RSV1287 1 MARINHO</t>
  </si>
  <si>
    <t>6383303</t>
  </si>
  <si>
    <t>68610</t>
  </si>
  <si>
    <t>41-42</t>
  </si>
  <si>
    <t>MAGNO NASCIMENTO DE ALMEIDA</t>
  </si>
  <si>
    <t>300520110235</t>
  </si>
  <si>
    <t>TENIS FILA FIT TECH FEMININO ROSA</t>
  </si>
  <si>
    <t>6393823</t>
  </si>
  <si>
    <t>57203</t>
  </si>
  <si>
    <t>KELLY MORALI DA SILVA</t>
  </si>
  <si>
    <t>300520112209</t>
  </si>
  <si>
    <t>Calça Kappa Maggiore Preta</t>
  </si>
  <si>
    <t>6359709</t>
  </si>
  <si>
    <t>56601</t>
  </si>
  <si>
    <t>Ecio Raimundo da Silva</t>
  </si>
  <si>
    <t>x</t>
  </si>
  <si>
    <t>300520113510</t>
  </si>
  <si>
    <r>
      <rPr>
        <b/>
        <u/>
        <sz val="11"/>
        <color theme="1"/>
        <rFont val="Calibri"/>
        <family val="2"/>
        <scheme val="minor"/>
      </rPr>
      <t>DIGITE</t>
    </r>
    <r>
      <rPr>
        <sz val="11"/>
        <color theme="1"/>
        <rFont val="Calibri"/>
        <family val="2"/>
        <scheme val="minor"/>
      </rPr>
      <t xml:space="preserve"> o e-mail do Cliente:</t>
    </r>
  </si>
  <si>
    <r>
      <rPr>
        <b/>
        <u/>
        <sz val="11"/>
        <color theme="1"/>
        <rFont val="Calibri"/>
        <family val="2"/>
        <scheme val="minor"/>
      </rPr>
      <t>CONFIRME</t>
    </r>
    <r>
      <rPr>
        <sz val="11"/>
        <color theme="1"/>
        <rFont val="Calibri"/>
        <family val="2"/>
        <scheme val="minor"/>
      </rPr>
      <t xml:space="preserve"> o e-mail do Cliente:</t>
    </r>
  </si>
  <si>
    <t>marketplace@futfanatics.com.br</t>
  </si>
  <si>
    <t>Camisa Umbro Santos III 2019</t>
  </si>
  <si>
    <t>6360261</t>
  </si>
  <si>
    <t>66229</t>
  </si>
  <si>
    <t>EEG</t>
  </si>
  <si>
    <t>Wagner Rodrigues Cavarzan</t>
  </si>
  <si>
    <t>040620114222</t>
  </si>
  <si>
    <t>Camisa Flamengo New Ray Feminina</t>
  </si>
  <si>
    <t>6408639</t>
  </si>
  <si>
    <t>75205</t>
  </si>
  <si>
    <t>G</t>
  </si>
  <si>
    <t>Hélio Mauricio Ribeiro de Souza</t>
  </si>
  <si>
    <t>120620124816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</si>
</sst>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000\-00"/>
    <numFmt numFmtId="165" formatCode="ddmmyyhhmmss"/>
    <numFmt numFmtId="166" formatCode="dd/mm/yy;@"/>
    <numFmt numFmtId="167" formatCode="[$-F800]dddd\,\ mmmm\ dd\,\ yyyy"/>
  </numFmts>
  <fonts count="35" x14ac:knownFonts="1">
    <font>
      <sz val="11"/>
      <color theme="1"/>
      <name val="Calibri"/>
      <family val="2"/>
      <scheme val="minor"/>
    </font>
    <font>
      <b/>
      <sz val="11"/>
      <color theme="1"/>
      <name val="Calibri"/>
      <family val="2"/>
      <scheme val="minor"/>
    </font>
    <font>
      <sz val="11"/>
      <color theme="1"/>
      <name val="Calibri"/>
      <family val="2"/>
      <scheme val="minor"/>
    </font>
    <font>
      <b/>
      <u/>
      <sz val="11"/>
      <color theme="1"/>
      <name val="Calibri"/>
      <family val="2"/>
      <scheme val="minor"/>
    </font>
    <font>
      <sz val="10"/>
      <name val="Arial"/>
      <family val="2"/>
    </font>
    <font>
      <sz val="8"/>
      <name val="Calibri"/>
      <family val="2"/>
      <scheme val="minor"/>
    </font>
    <font>
      <sz val="11"/>
      <color theme="0"/>
      <name val="Calibri"/>
      <family val="2"/>
      <scheme val="minor"/>
    </font>
    <font>
      <sz val="11"/>
      <color rgb="FFFFFF00"/>
      <name val="Calibri"/>
      <family val="2"/>
      <scheme val="minor"/>
    </font>
    <font>
      <sz val="11"/>
      <name val="Calibri"/>
      <family val="2"/>
      <scheme val="minor"/>
    </font>
    <font>
      <b/>
      <sz val="11"/>
      <color theme="0"/>
      <name val="Calibri"/>
      <family val="2"/>
      <scheme val="minor"/>
    </font>
    <font>
      <sz val="10"/>
      <name val="Times New Roman"/>
      <family val="1"/>
    </font>
    <font>
      <b/>
      <sz val="16"/>
      <name val="Times New Roman"/>
      <family val="1"/>
    </font>
    <font>
      <b/>
      <i/>
      <sz val="16"/>
      <name val="Times New Roman"/>
      <family val="1"/>
    </font>
    <font>
      <b/>
      <sz val="14"/>
      <name val="Times New Roman"/>
      <family val="1"/>
    </font>
    <font>
      <b/>
      <sz val="12"/>
      <name val="Times New Roman"/>
      <family val="1"/>
    </font>
    <font>
      <b/>
      <i/>
      <sz val="14"/>
      <color rgb="FFFF0000"/>
      <name val="Times New Roman"/>
      <family val="1"/>
    </font>
    <font>
      <b/>
      <i/>
      <sz val="16"/>
      <color rgb="FFFF0000"/>
      <name val="Times New Roman"/>
      <family val="1"/>
    </font>
    <font>
      <b/>
      <sz val="10"/>
      <name val="Times New Roman"/>
      <family val="1"/>
    </font>
    <font>
      <b/>
      <sz val="20"/>
      <name val="Times New Roman"/>
      <family val="1"/>
    </font>
    <font>
      <b/>
      <sz val="11"/>
      <name val="Times New Roman"/>
      <family val="1"/>
    </font>
    <font>
      <b/>
      <sz val="11"/>
      <name val="Calibri"/>
      <family val="2"/>
      <scheme val="minor"/>
    </font>
    <font>
      <b/>
      <sz val="18"/>
      <color theme="1"/>
      <name val="Calibri"/>
      <family val="2"/>
      <scheme val="minor"/>
    </font>
    <font>
      <b/>
      <u/>
      <sz val="10"/>
      <name val="Times New Roman"/>
      <family val="1"/>
    </font>
    <font>
      <b/>
      <u/>
      <sz val="18"/>
      <color rgb="FF002060"/>
      <name val="Times New Roman"/>
      <family val="1"/>
    </font>
    <font>
      <b/>
      <u/>
      <sz val="14"/>
      <color theme="1"/>
      <name val="Calibri"/>
      <family val="2"/>
      <scheme val="minor"/>
    </font>
    <font>
      <sz val="14"/>
      <color theme="1"/>
      <name val="Calibri"/>
      <family val="2"/>
      <scheme val="minor"/>
    </font>
    <font>
      <b/>
      <i/>
      <u/>
      <sz val="14"/>
      <color theme="1"/>
      <name val="Calibri"/>
      <family val="2"/>
      <scheme val="minor"/>
    </font>
    <font>
      <b/>
      <u/>
      <sz val="12"/>
      <color theme="1"/>
      <name val="Calibri"/>
      <family val="2"/>
      <scheme val="minor"/>
    </font>
    <font>
      <u/>
      <sz val="11"/>
      <color theme="10"/>
      <name val="Calibri"/>
      <family val="2"/>
      <scheme val="minor"/>
    </font>
    <font>
      <b/>
      <sz val="18"/>
      <color rgb="FFFFFF00"/>
      <name val="Calibri"/>
      <family val="2"/>
      <scheme val="minor"/>
    </font>
    <font>
      <sz val="10"/>
      <color theme="1"/>
      <name val="Calibri"/>
      <family val="2"/>
      <scheme val="minor"/>
    </font>
    <font>
      <sz val="12"/>
      <color theme="1"/>
      <name val="Calibri"/>
      <family val="2"/>
      <scheme val="minor"/>
    </font>
    <font>
      <u/>
      <sz val="12"/>
      <color theme="1"/>
      <name val="Calibri"/>
      <family val="2"/>
      <scheme val="minor"/>
    </font>
    <font>
      <b/>
      <i/>
      <sz val="12"/>
      <color theme="1"/>
      <name val="Calibri"/>
      <family val="2"/>
      <scheme val="minor"/>
    </font>
    <font>
      <sz val="11"/>
      <name val="Times New Roman"/>
      <family val="1"/>
    </font>
  </fonts>
  <fills count="12">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0.249977111117893"/>
        <bgColor indexed="64"/>
      </patternFill>
    </fill>
    <fill>
      <patternFill patternType="solid">
        <fgColor theme="1"/>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7" tint="0.5999938962981048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ck">
        <color rgb="FFFFFF00"/>
      </top>
      <bottom/>
      <diagonal/>
    </border>
    <border>
      <left/>
      <right style="thick">
        <color rgb="FFFFFF00"/>
      </right>
      <top style="thick">
        <color rgb="FFFFFF00"/>
      </top>
      <bottom/>
      <diagonal/>
    </border>
    <border>
      <left/>
      <right style="thick">
        <color rgb="FFFFFF00"/>
      </right>
      <top/>
      <bottom/>
      <diagonal/>
    </border>
    <border>
      <left/>
      <right/>
      <top/>
      <bottom style="thick">
        <color rgb="FFFFFF00"/>
      </bottom>
      <diagonal/>
    </border>
    <border>
      <left/>
      <right style="thick">
        <color rgb="FFFFFF00"/>
      </right>
      <top/>
      <bottom style="thick">
        <color rgb="FFFFFF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s>
  <cellStyleXfs count="5">
    <xf numFmtId="0" fontId="0" fillId="0" borderId="0"/>
    <xf numFmtId="9" fontId="2" fillId="0" borderId="0" applyFont="0" applyFill="0" applyBorder="0" applyAlignment="0" applyProtection="0"/>
    <xf numFmtId="0" fontId="4" fillId="0" borderId="0"/>
    <xf numFmtId="0" fontId="2" fillId="0" borderId="0"/>
    <xf numFmtId="0" fontId="28" fillId="0" borderId="0" applyNumberFormat="0" applyFill="0" applyBorder="0" applyAlignment="0" applyProtection="0"/>
  </cellStyleXfs>
  <cellXfs count="229">
    <xf numFmtId="0" fontId="0" fillId="0" borderId="0" xfId="0"/>
    <xf numFmtId="0" fontId="0" fillId="0" borderId="1"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 fillId="0" borderId="3" xfId="0" applyFont="1" applyBorder="1" applyAlignment="1">
      <alignment horizontal="center" wrapText="1"/>
    </xf>
    <xf numFmtId="0" fontId="1" fillId="0" borderId="1" xfId="0" applyFont="1" applyBorder="1" applyAlignment="1">
      <alignment horizontal="center" vertical="center"/>
    </xf>
    <xf numFmtId="0" fontId="0" fillId="0" borderId="1" xfId="0" quotePrefix="1" applyBorder="1" applyAlignment="1">
      <alignment horizontal="center" vertical="center"/>
    </xf>
    <xf numFmtId="0" fontId="0" fillId="0" borderId="0" xfId="0" quotePrefix="1"/>
    <xf numFmtId="0" fontId="0" fillId="0" borderId="0" xfId="0" applyAlignment="1">
      <alignment horizontal="center" vertical="center"/>
    </xf>
    <xf numFmtId="0" fontId="0" fillId="0" borderId="1" xfId="0" applyFill="1" applyBorder="1" applyAlignment="1">
      <alignment horizontal="center" vertical="center"/>
    </xf>
    <xf numFmtId="0" fontId="1" fillId="6" borderId="1" xfId="0" applyFont="1" applyFill="1" applyBorder="1" applyAlignment="1">
      <alignment horizontal="center" vertical="center"/>
    </xf>
    <xf numFmtId="0" fontId="0" fillId="2" borderId="0" xfId="0" applyFill="1"/>
    <xf numFmtId="0" fontId="0" fillId="7" borderId="0" xfId="0" applyFill="1"/>
    <xf numFmtId="0" fontId="0" fillId="7" borderId="0" xfId="0" applyFill="1" applyAlignment="1">
      <alignment horizontal="center" vertical="center"/>
    </xf>
    <xf numFmtId="0" fontId="0" fillId="7" borderId="0" xfId="0" applyFill="1" applyBorder="1"/>
    <xf numFmtId="49" fontId="0" fillId="7" borderId="0" xfId="0" applyNumberFormat="1" applyFill="1" applyBorder="1" applyAlignment="1">
      <alignment horizontal="center" vertical="center"/>
    </xf>
    <xf numFmtId="0" fontId="6" fillId="7" borderId="0" xfId="0" applyFont="1" applyFill="1"/>
    <xf numFmtId="0" fontId="6" fillId="7" borderId="0" xfId="0" applyNumberFormat="1" applyFont="1" applyFill="1"/>
    <xf numFmtId="0" fontId="7" fillId="7" borderId="0" xfId="0" applyFont="1" applyFill="1"/>
    <xf numFmtId="0" fontId="0" fillId="0" borderId="0" xfId="0" applyFill="1" applyAlignment="1">
      <alignment horizontal="center" vertical="center"/>
    </xf>
    <xf numFmtId="0" fontId="6" fillId="7" borderId="0" xfId="0" applyFont="1" applyFill="1" applyAlignment="1"/>
    <xf numFmtId="0" fontId="0" fillId="0" borderId="0" xfId="0" applyFill="1"/>
    <xf numFmtId="164" fontId="0" fillId="5" borderId="1" xfId="0" applyNumberFormat="1" applyFill="1" applyBorder="1" applyAlignment="1">
      <alignment horizontal="center" vertical="center"/>
    </xf>
    <xf numFmtId="0" fontId="0" fillId="5" borderId="1" xfId="0" applyNumberFormat="1" applyFill="1" applyBorder="1" applyAlignment="1">
      <alignment horizontal="center" vertical="center"/>
    </xf>
    <xf numFmtId="0" fontId="1" fillId="0" borderId="1" xfId="0" applyNumberFormat="1" applyFont="1" applyBorder="1" applyAlignment="1">
      <alignment horizontal="center" vertical="center"/>
    </xf>
    <xf numFmtId="0" fontId="1" fillId="5" borderId="1" xfId="0" applyNumberFormat="1" applyFont="1" applyFill="1" applyBorder="1" applyAlignment="1">
      <alignment horizontal="center" vertical="center"/>
    </xf>
    <xf numFmtId="0" fontId="0" fillId="7" borderId="5" xfId="0" applyFill="1" applyBorder="1" applyAlignment="1">
      <alignment horizontal="center" vertical="center"/>
    </xf>
    <xf numFmtId="1" fontId="0" fillId="7" borderId="5" xfId="1" applyNumberFormat="1" applyFont="1" applyFill="1" applyBorder="1" applyAlignment="1">
      <alignment horizontal="center" vertical="center"/>
    </xf>
    <xf numFmtId="0" fontId="7" fillId="7" borderId="0" xfId="0" applyFont="1" applyFill="1" applyBorder="1"/>
    <xf numFmtId="49" fontId="13" fillId="0" borderId="15" xfId="0" applyNumberFormat="1" applyFont="1" applyBorder="1" applyAlignment="1">
      <alignment vertical="center" wrapText="1"/>
    </xf>
    <xf numFmtId="49" fontId="14" fillId="0" borderId="15" xfId="0" applyNumberFormat="1" applyFont="1" applyBorder="1" applyAlignment="1">
      <alignment vertical="center"/>
    </xf>
    <xf numFmtId="49" fontId="14" fillId="0" borderId="16" xfId="0" applyNumberFormat="1" applyFont="1" applyBorder="1" applyAlignment="1">
      <alignment vertical="center"/>
    </xf>
    <xf numFmtId="49" fontId="16" fillId="0" borderId="18" xfId="0" applyNumberFormat="1" applyFont="1" applyBorder="1" applyAlignment="1">
      <alignment vertical="center"/>
    </xf>
    <xf numFmtId="49" fontId="13" fillId="0" borderId="0" xfId="0" applyNumberFormat="1" applyFont="1" applyAlignment="1">
      <alignment vertical="center" wrapText="1"/>
    </xf>
    <xf numFmtId="49" fontId="17" fillId="0" borderId="0" xfId="0" applyNumberFormat="1" applyFont="1" applyAlignment="1">
      <alignment vertical="center" wrapText="1"/>
    </xf>
    <xf numFmtId="49" fontId="14" fillId="0" borderId="0" xfId="0" applyNumberFormat="1" applyFont="1" applyAlignment="1">
      <alignment vertical="center" wrapText="1"/>
    </xf>
    <xf numFmtId="49" fontId="14" fillId="0" borderId="18" xfId="0" applyNumberFormat="1" applyFont="1" applyBorder="1" applyAlignment="1">
      <alignment vertical="center" wrapText="1"/>
    </xf>
    <xf numFmtId="49" fontId="13" fillId="0" borderId="19" xfId="0" applyNumberFormat="1" applyFont="1" applyBorder="1" applyAlignment="1">
      <alignment vertical="center" wrapText="1"/>
    </xf>
    <xf numFmtId="49" fontId="17" fillId="0" borderId="19" xfId="0" applyNumberFormat="1" applyFont="1" applyBorder="1" applyAlignment="1">
      <alignment vertical="center" wrapText="1"/>
    </xf>
    <xf numFmtId="49" fontId="14" fillId="0" borderId="19" xfId="0" applyNumberFormat="1" applyFont="1" applyBorder="1" applyAlignment="1">
      <alignment vertical="center" wrapText="1"/>
    </xf>
    <xf numFmtId="49" fontId="14" fillId="0" borderId="20" xfId="0" applyNumberFormat="1" applyFont="1" applyBorder="1" applyAlignment="1">
      <alignment vertical="center" wrapText="1"/>
    </xf>
    <xf numFmtId="49" fontId="10" fillId="0" borderId="0" xfId="0" applyNumberFormat="1" applyFont="1" applyAlignment="1">
      <alignment horizontal="center" vertical="center"/>
    </xf>
    <xf numFmtId="49" fontId="10" fillId="0" borderId="14" xfId="0" applyNumberFormat="1" applyFont="1" applyBorder="1" applyAlignment="1">
      <alignment vertical="top" wrapText="1"/>
    </xf>
    <xf numFmtId="49" fontId="10" fillId="0" borderId="15" xfId="0" applyNumberFormat="1" applyFont="1" applyBorder="1" applyAlignment="1">
      <alignment vertical="top" wrapText="1"/>
    </xf>
    <xf numFmtId="49" fontId="10" fillId="0" borderId="16" xfId="0" applyNumberFormat="1" applyFont="1" applyBorder="1" applyAlignment="1">
      <alignment vertical="top" wrapText="1"/>
    </xf>
    <xf numFmtId="49" fontId="10" fillId="0" borderId="17" xfId="0" applyNumberFormat="1" applyFont="1" applyBorder="1" applyAlignment="1">
      <alignment vertical="top" wrapText="1"/>
    </xf>
    <xf numFmtId="49" fontId="10" fillId="0" borderId="0" xfId="0" applyNumberFormat="1" applyFont="1" applyAlignment="1">
      <alignment vertical="top" wrapText="1"/>
    </xf>
    <xf numFmtId="49" fontId="10" fillId="0" borderId="18" xfId="0" applyNumberFormat="1" applyFont="1" applyBorder="1" applyAlignment="1">
      <alignment vertical="top" wrapText="1"/>
    </xf>
    <xf numFmtId="0" fontId="9" fillId="0" borderId="0" xfId="3" applyFont="1" applyAlignment="1">
      <alignment horizontal="center" vertical="center"/>
    </xf>
    <xf numFmtId="0" fontId="20" fillId="0" borderId="0" xfId="3" applyFont="1" applyAlignment="1">
      <alignment horizontal="center" vertical="center"/>
    </xf>
    <xf numFmtId="0" fontId="10" fillId="0" borderId="0" xfId="0" applyFont="1" applyAlignment="1">
      <alignment vertical="center"/>
    </xf>
    <xf numFmtId="0" fontId="2" fillId="0" borderId="0" xfId="3" applyAlignment="1">
      <alignment horizontal="left" vertical="center"/>
    </xf>
    <xf numFmtId="0" fontId="2" fillId="0" borderId="0" xfId="3" applyAlignment="1">
      <alignment horizontal="center" vertical="center"/>
    </xf>
    <xf numFmtId="0" fontId="8" fillId="0" borderId="0" xfId="3" applyFont="1" applyAlignment="1">
      <alignment horizontal="left" vertical="center"/>
    </xf>
    <xf numFmtId="0" fontId="10" fillId="0" borderId="0" xfId="0" applyFont="1" applyAlignment="1" applyProtection="1">
      <alignment vertical="center"/>
      <protection locked="0"/>
    </xf>
    <xf numFmtId="49" fontId="10" fillId="0" borderId="0" xfId="0" applyNumberFormat="1" applyFont="1" applyAlignment="1">
      <alignment horizontal="left" vertical="center"/>
    </xf>
    <xf numFmtId="1" fontId="1" fillId="4" borderId="1" xfId="1" applyNumberFormat="1" applyFont="1" applyFill="1" applyBorder="1" applyAlignment="1">
      <alignment horizontal="center" vertical="center" wrapText="1"/>
    </xf>
    <xf numFmtId="14" fontId="1" fillId="0" borderId="1" xfId="0" applyNumberFormat="1" applyFont="1" applyBorder="1" applyAlignment="1">
      <alignment horizontal="center" vertical="center"/>
    </xf>
    <xf numFmtId="0" fontId="1" fillId="0" borderId="0" xfId="0" applyFont="1" applyBorder="1" applyAlignment="1">
      <alignment vertical="center"/>
    </xf>
    <xf numFmtId="0" fontId="0" fillId="0" borderId="0" xfId="0" applyBorder="1"/>
    <xf numFmtId="49" fontId="6" fillId="7" borderId="0" xfId="0" applyNumberFormat="1" applyFont="1" applyFill="1"/>
    <xf numFmtId="14" fontId="6" fillId="7" borderId="0" xfId="0" applyNumberFormat="1" applyFont="1" applyFill="1"/>
    <xf numFmtId="14" fontId="1" fillId="5" borderId="1" xfId="0" applyNumberFormat="1" applyFont="1" applyFill="1" applyBorder="1" applyAlignment="1">
      <alignment horizontal="center" vertical="center"/>
    </xf>
    <xf numFmtId="165" fontId="15" fillId="0" borderId="19" xfId="0" applyNumberFormat="1" applyFont="1" applyBorder="1" applyAlignment="1" applyProtection="1">
      <alignment vertical="center" shrinkToFit="1"/>
      <protection locked="0"/>
    </xf>
    <xf numFmtId="49" fontId="10" fillId="0" borderId="0" xfId="0" applyNumberFormat="1" applyFont="1" applyAlignment="1">
      <alignment horizontal="center" vertical="center"/>
    </xf>
    <xf numFmtId="0" fontId="0" fillId="8" borderId="0" xfId="0" quotePrefix="1" applyFill="1"/>
    <xf numFmtId="0" fontId="0" fillId="8" borderId="0" xfId="0" applyFill="1"/>
    <xf numFmtId="0" fontId="25" fillId="8" borderId="0" xfId="0" applyFont="1" applyFill="1" applyAlignment="1">
      <alignment wrapText="1"/>
    </xf>
    <xf numFmtId="0" fontId="25" fillId="8" borderId="0" xfId="0" applyFont="1" applyFill="1"/>
    <xf numFmtId="0" fontId="25" fillId="8" borderId="0" xfId="0" applyFont="1" applyFill="1" applyAlignment="1">
      <alignment vertical="top" wrapText="1"/>
    </xf>
    <xf numFmtId="0" fontId="27" fillId="10" borderId="0" xfId="0" applyFont="1" applyFill="1"/>
    <xf numFmtId="0" fontId="0" fillId="10" borderId="0" xfId="0" applyFill="1"/>
    <xf numFmtId="0" fontId="8" fillId="0" borderId="0" xfId="0" applyFont="1"/>
    <xf numFmtId="0" fontId="8" fillId="0" borderId="0" xfId="0" applyFont="1" applyFill="1" applyAlignment="1">
      <alignment horizontal="center" vertical="center"/>
    </xf>
    <xf numFmtId="0" fontId="8" fillId="0" borderId="0" xfId="0" applyFont="1" applyAlignment="1">
      <alignment wrapText="1"/>
    </xf>
    <xf numFmtId="49" fontId="0" fillId="7" borderId="0" xfId="0" applyNumberFormat="1" applyFill="1"/>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7" xfId="0" applyFill="1" applyBorder="1" applyAlignment="1">
      <alignment horizontal="center" vertical="center"/>
    </xf>
    <xf numFmtId="0" fontId="0" fillId="0" borderId="0" xfId="0" applyFill="1" applyBorder="1" applyAlignment="1">
      <alignment horizontal="center" vertical="center"/>
    </xf>
    <xf numFmtId="0" fontId="0" fillId="0" borderId="6" xfId="0" applyFill="1" applyBorder="1" applyAlignment="1">
      <alignment horizontal="center" vertical="center"/>
    </xf>
    <xf numFmtId="0" fontId="0" fillId="0" borderId="19" xfId="0" applyFill="1" applyBorder="1" applyAlignment="1">
      <alignment horizontal="center" vertical="center"/>
    </xf>
    <xf numFmtId="0" fontId="0" fillId="0" borderId="0" xfId="0" applyNumberFormat="1" applyFill="1"/>
    <xf numFmtId="22" fontId="30" fillId="0" borderId="0" xfId="0" applyNumberFormat="1" applyFont="1" applyFill="1" applyAlignment="1">
      <alignment textRotation="90"/>
    </xf>
    <xf numFmtId="22" fontId="30" fillId="0" borderId="16" xfId="0" applyNumberFormat="1" applyFont="1" applyFill="1" applyBorder="1" applyAlignment="1">
      <alignment textRotation="90"/>
    </xf>
    <xf numFmtId="22" fontId="30" fillId="0" borderId="18" xfId="0" applyNumberFormat="1" applyFont="1" applyFill="1" applyBorder="1" applyAlignment="1">
      <alignment textRotation="90"/>
    </xf>
    <xf numFmtId="0" fontId="30" fillId="0" borderId="18" xfId="0" applyFont="1" applyFill="1" applyBorder="1" applyAlignment="1">
      <alignment vertical="top" textRotation="90"/>
    </xf>
    <xf numFmtId="0" fontId="30" fillId="0" borderId="20" xfId="0" applyFont="1" applyFill="1" applyBorder="1" applyAlignment="1">
      <alignment vertical="top" textRotation="90"/>
    </xf>
    <xf numFmtId="0" fontId="31" fillId="0" borderId="0" xfId="0" applyFont="1"/>
    <xf numFmtId="49" fontId="0" fillId="0" borderId="0" xfId="0" applyNumberFormat="1" applyFill="1"/>
    <xf numFmtId="0" fontId="28" fillId="0" borderId="0" xfId="4" applyAlignment="1">
      <alignment vertical="center"/>
    </xf>
    <xf numFmtId="0" fontId="31" fillId="0" borderId="0" xfId="0" applyFont="1" applyFill="1" applyBorder="1" applyAlignment="1">
      <alignment vertical="center"/>
    </xf>
    <xf numFmtId="167" fontId="0" fillId="0" borderId="0" xfId="0" applyNumberFormat="1" applyFill="1"/>
    <xf numFmtId="0" fontId="0" fillId="0" borderId="0" xfId="0" applyFill="1" applyBorder="1" applyAlignment="1">
      <alignment vertical="center"/>
    </xf>
    <xf numFmtId="0" fontId="0" fillId="0" borderId="0" xfId="0" applyFill="1" applyBorder="1" applyAlignment="1">
      <alignment horizontal="center" vertical="center"/>
    </xf>
    <xf numFmtId="0" fontId="31" fillId="0" borderId="0" xfId="0" applyFont="1" applyFill="1" applyBorder="1" applyAlignment="1">
      <alignment vertical="center" wrapText="1"/>
    </xf>
    <xf numFmtId="0" fontId="32" fillId="0" borderId="0" xfId="0" applyFont="1" applyFill="1" applyBorder="1" applyAlignment="1">
      <alignment vertical="center"/>
    </xf>
    <xf numFmtId="167" fontId="31" fillId="0" borderId="0" xfId="0" applyNumberFormat="1" applyFont="1" applyFill="1" applyBorder="1" applyAlignment="1">
      <alignment vertical="center"/>
    </xf>
    <xf numFmtId="0" fontId="0" fillId="0" borderId="0" xfId="0" applyFill="1" applyBorder="1" applyAlignment="1">
      <alignment vertical="top"/>
    </xf>
    <xf numFmtId="0" fontId="25" fillId="8" borderId="0" xfId="0" applyFont="1" applyFill="1" applyAlignment="1">
      <alignment horizontal="left" vertical="center" wrapText="1"/>
    </xf>
    <xf numFmtId="0" fontId="23" fillId="9" borderId="0" xfId="0" applyFont="1" applyFill="1" applyAlignment="1">
      <alignment horizontal="center" vertical="center"/>
    </xf>
    <xf numFmtId="0" fontId="24" fillId="10" borderId="0" xfId="0" applyFont="1" applyFill="1" applyAlignment="1">
      <alignment horizontal="center" vertical="center"/>
    </xf>
    <xf numFmtId="0" fontId="0" fillId="0" borderId="0" xfId="0" applyAlignment="1">
      <alignment horizontal="center" wrapText="1"/>
    </xf>
    <xf numFmtId="0" fontId="0" fillId="0" borderId="4" xfId="0"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28" fillId="0" borderId="4" xfId="4" applyFill="1" applyBorder="1" applyAlignment="1">
      <alignment horizontal="center" vertical="center"/>
    </xf>
    <xf numFmtId="0" fontId="8" fillId="0" borderId="8" xfId="0" applyFont="1" applyBorder="1" applyAlignment="1">
      <alignment horizontal="center" vertical="center"/>
    </xf>
    <xf numFmtId="0" fontId="8" fillId="0" borderId="7" xfId="0" applyFont="1" applyBorder="1" applyAlignment="1">
      <alignment horizontal="center" vertical="center"/>
    </xf>
    <xf numFmtId="0" fontId="8" fillId="0" borderId="4" xfId="0" applyFont="1" applyBorder="1" applyAlignment="1">
      <alignment horizontal="center" vertical="center"/>
    </xf>
    <xf numFmtId="49" fontId="17" fillId="6" borderId="14" xfId="0" applyNumberFormat="1" applyFont="1" applyFill="1" applyBorder="1" applyAlignment="1" applyProtection="1">
      <alignment horizontal="center" vertical="center" wrapText="1"/>
      <protection locked="0"/>
    </xf>
    <xf numFmtId="49" fontId="17" fillId="6" borderId="15" xfId="0" applyNumberFormat="1" applyFont="1" applyFill="1" applyBorder="1" applyAlignment="1" applyProtection="1">
      <alignment horizontal="center" vertical="center" wrapText="1"/>
      <protection locked="0"/>
    </xf>
    <xf numFmtId="49" fontId="17" fillId="6" borderId="16" xfId="0" applyNumberFormat="1" applyFont="1" applyFill="1" applyBorder="1" applyAlignment="1" applyProtection="1">
      <alignment horizontal="center" vertical="center" wrapText="1"/>
      <protection locked="0"/>
    </xf>
    <xf numFmtId="49" fontId="17" fillId="6" borderId="6" xfId="0" applyNumberFormat="1" applyFont="1" applyFill="1" applyBorder="1" applyAlignment="1" applyProtection="1">
      <alignment horizontal="center" vertical="center" wrapText="1"/>
      <protection locked="0"/>
    </xf>
    <xf numFmtId="49" fontId="17" fillId="6" borderId="19" xfId="0" applyNumberFormat="1" applyFont="1" applyFill="1" applyBorder="1" applyAlignment="1" applyProtection="1">
      <alignment horizontal="center" vertical="center" wrapText="1"/>
      <protection locked="0"/>
    </xf>
    <xf numFmtId="49" fontId="17" fillId="6" borderId="20" xfId="0" applyNumberFormat="1" applyFont="1" applyFill="1" applyBorder="1" applyAlignment="1" applyProtection="1">
      <alignment horizontal="center" vertical="center" wrapText="1"/>
      <protection locked="0"/>
    </xf>
    <xf numFmtId="49" fontId="10" fillId="0" borderId="15" xfId="0" applyNumberFormat="1" applyFont="1" applyBorder="1" applyAlignment="1" applyProtection="1">
      <alignment horizontal="left" vertical="center" wrapText="1"/>
      <protection locked="0"/>
    </xf>
    <xf numFmtId="49" fontId="10" fillId="0" borderId="16" xfId="0" applyNumberFormat="1" applyFont="1" applyBorder="1" applyAlignment="1" applyProtection="1">
      <alignment horizontal="left" vertical="center" wrapText="1"/>
      <protection locked="0"/>
    </xf>
    <xf numFmtId="49" fontId="10" fillId="0" borderId="19" xfId="0" applyNumberFormat="1" applyFont="1" applyBorder="1" applyAlignment="1" applyProtection="1">
      <alignment horizontal="left" vertical="center" wrapText="1"/>
      <protection locked="0"/>
    </xf>
    <xf numFmtId="49" fontId="10" fillId="0" borderId="20" xfId="0" applyNumberFormat="1" applyFont="1" applyBorder="1" applyAlignment="1" applyProtection="1">
      <alignment horizontal="left" vertical="center" wrapText="1"/>
      <protection locked="0"/>
    </xf>
    <xf numFmtId="49" fontId="17" fillId="6" borderId="1" xfId="0" applyNumberFormat="1" applyFont="1" applyFill="1" applyBorder="1" applyAlignment="1">
      <alignment horizontal="center" vertical="center"/>
    </xf>
    <xf numFmtId="49" fontId="10" fillId="0" borderId="4" xfId="0" applyNumberFormat="1" applyFont="1" applyBorder="1" applyAlignment="1" applyProtection="1">
      <alignment horizontal="center" vertical="center" shrinkToFit="1"/>
      <protection locked="0"/>
    </xf>
    <xf numFmtId="49" fontId="10" fillId="0" borderId="8" xfId="0" applyNumberFormat="1" applyFont="1" applyBorder="1" applyAlignment="1" applyProtection="1">
      <alignment horizontal="center" vertical="center" shrinkToFit="1"/>
      <protection locked="0"/>
    </xf>
    <xf numFmtId="49" fontId="10" fillId="0" borderId="7" xfId="0" applyNumberFormat="1" applyFont="1" applyBorder="1" applyAlignment="1" applyProtection="1">
      <alignment horizontal="center" vertical="center" shrinkToFit="1"/>
      <protection locked="0"/>
    </xf>
    <xf numFmtId="0" fontId="10" fillId="0" borderId="4" xfId="0" applyFont="1" applyBorder="1" applyAlignment="1">
      <alignment horizontal="center" vertical="center" shrinkToFit="1"/>
    </xf>
    <xf numFmtId="0" fontId="10" fillId="0" borderId="8" xfId="0" applyFont="1" applyBorder="1" applyAlignment="1">
      <alignment horizontal="center" vertical="center" shrinkToFit="1"/>
    </xf>
    <xf numFmtId="0" fontId="10" fillId="0" borderId="7" xfId="0" applyFont="1" applyBorder="1" applyAlignment="1">
      <alignment horizontal="center" vertical="center" shrinkToFit="1"/>
    </xf>
    <xf numFmtId="166" fontId="10" fillId="0" borderId="1" xfId="0" applyNumberFormat="1" applyFont="1" applyBorder="1" applyAlignment="1" applyProtection="1">
      <alignment horizontal="center" vertical="center" shrinkToFit="1"/>
      <protection locked="0"/>
    </xf>
    <xf numFmtId="0" fontId="34" fillId="0" borderId="14" xfId="0" applyNumberFormat="1" applyFont="1" applyBorder="1" applyAlignment="1" applyProtection="1">
      <alignment horizontal="left" vertical="center" wrapText="1"/>
      <protection locked="0"/>
    </xf>
    <xf numFmtId="0" fontId="34" fillId="0" borderId="15" xfId="0" applyNumberFormat="1" applyFont="1" applyBorder="1" applyAlignment="1" applyProtection="1">
      <alignment horizontal="left" vertical="center" wrapText="1"/>
      <protection locked="0"/>
    </xf>
    <xf numFmtId="0" fontId="34" fillId="0" borderId="16" xfId="0" applyNumberFormat="1" applyFont="1" applyBorder="1" applyAlignment="1" applyProtection="1">
      <alignment horizontal="left" vertical="center" wrapText="1"/>
      <protection locked="0"/>
    </xf>
    <xf numFmtId="0" fontId="34" fillId="0" borderId="17" xfId="0" applyNumberFormat="1" applyFont="1" applyBorder="1" applyAlignment="1" applyProtection="1">
      <alignment horizontal="left" vertical="center" wrapText="1"/>
      <protection locked="0"/>
    </xf>
    <xf numFmtId="0" fontId="34" fillId="0" borderId="0" xfId="0" applyNumberFormat="1" applyFont="1" applyBorder="1" applyAlignment="1" applyProtection="1">
      <alignment horizontal="left" vertical="center" wrapText="1"/>
      <protection locked="0"/>
    </xf>
    <xf numFmtId="0" fontId="34" fillId="0" borderId="18" xfId="0" applyNumberFormat="1" applyFont="1" applyBorder="1" applyAlignment="1" applyProtection="1">
      <alignment horizontal="left" vertical="center" wrapText="1"/>
      <protection locked="0"/>
    </xf>
    <xf numFmtId="0" fontId="0" fillId="0" borderId="0" xfId="3" applyFont="1" applyAlignment="1">
      <alignment horizontal="left" vertical="center"/>
    </xf>
    <xf numFmtId="49" fontId="17" fillId="6" borderId="14" xfId="0" applyNumberFormat="1" applyFont="1" applyFill="1" applyBorder="1" applyAlignment="1">
      <alignment horizontal="center" vertical="center"/>
    </xf>
    <xf numFmtId="49" fontId="17" fillId="6" borderId="15"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6" xfId="0" applyNumberFormat="1" applyFont="1" applyFill="1" applyBorder="1" applyAlignment="1">
      <alignment horizontal="center" vertical="center"/>
    </xf>
    <xf numFmtId="49" fontId="17" fillId="6" borderId="19" xfId="0" applyNumberFormat="1" applyFont="1" applyFill="1" applyBorder="1" applyAlignment="1">
      <alignment horizontal="center" vertical="center"/>
    </xf>
    <xf numFmtId="49" fontId="17" fillId="6" borderId="20" xfId="0" applyNumberFormat="1" applyFont="1" applyFill="1" applyBorder="1" applyAlignment="1">
      <alignment horizontal="center" vertical="center"/>
    </xf>
    <xf numFmtId="0" fontId="21" fillId="0" borderId="4" xfId="3" applyFont="1" applyBorder="1" applyAlignment="1" applyProtection="1">
      <alignment horizontal="center" vertical="center"/>
      <protection locked="0"/>
    </xf>
    <xf numFmtId="0" fontId="21" fillId="0" borderId="7" xfId="3" applyFont="1" applyBorder="1" applyAlignment="1" applyProtection="1">
      <alignment horizontal="center" vertical="center"/>
      <protection locked="0"/>
    </xf>
    <xf numFmtId="0" fontId="2" fillId="0" borderId="0" xfId="3" applyAlignment="1">
      <alignment horizontal="left" vertical="center"/>
    </xf>
    <xf numFmtId="0" fontId="30" fillId="0" borderId="17" xfId="0" applyFont="1" applyFill="1" applyBorder="1" applyAlignment="1">
      <alignment horizontal="center" vertical="top" textRotation="90"/>
    </xf>
    <xf numFmtId="49" fontId="10" fillId="0" borderId="1" xfId="0" applyNumberFormat="1" applyFont="1" applyBorder="1" applyAlignment="1" applyProtection="1">
      <alignment horizontal="center" vertical="center" shrinkToFit="1"/>
      <protection locked="0"/>
    </xf>
    <xf numFmtId="0" fontId="10" fillId="0" borderId="1" xfId="0" applyNumberFormat="1" applyFont="1" applyBorder="1" applyAlignment="1">
      <alignment horizontal="center" vertical="center" shrinkToFit="1"/>
    </xf>
    <xf numFmtId="0" fontId="10" fillId="0" borderId="1" xfId="0" applyNumberFormat="1" applyFont="1" applyBorder="1" applyAlignment="1" applyProtection="1">
      <alignment horizontal="center" vertical="center" shrinkToFit="1"/>
      <protection locked="0"/>
    </xf>
    <xf numFmtId="0" fontId="19" fillId="6" borderId="4" xfId="3" applyFont="1" applyFill="1" applyBorder="1" applyAlignment="1">
      <alignment horizontal="center" vertical="center"/>
    </xf>
    <xf numFmtId="0" fontId="19" fillId="6" borderId="8" xfId="3" applyFont="1" applyFill="1" applyBorder="1" applyAlignment="1">
      <alignment horizontal="center" vertical="center"/>
    </xf>
    <xf numFmtId="0" fontId="19" fillId="6" borderId="7" xfId="3" applyFont="1" applyFill="1" applyBorder="1" applyAlignment="1">
      <alignment horizontal="center" vertical="center"/>
    </xf>
    <xf numFmtId="0" fontId="19" fillId="6" borderId="4" xfId="3" applyFont="1" applyFill="1" applyBorder="1" applyAlignment="1">
      <alignment horizontal="center" vertical="center" wrapText="1"/>
    </xf>
    <xf numFmtId="22" fontId="30" fillId="0" borderId="0" xfId="0" applyNumberFormat="1" applyFont="1" applyFill="1" applyAlignment="1">
      <alignment horizontal="center" textRotation="90"/>
    </xf>
    <xf numFmtId="0" fontId="30" fillId="0" borderId="0" xfId="0" applyFont="1" applyFill="1" applyBorder="1" applyAlignment="1">
      <alignment horizontal="center" vertical="top" textRotation="90"/>
    </xf>
    <xf numFmtId="0" fontId="31" fillId="0" borderId="0" xfId="0" applyFont="1" applyFill="1" applyBorder="1" applyAlignment="1">
      <alignment horizontal="justify" vertical="center" wrapText="1"/>
    </xf>
    <xf numFmtId="0" fontId="27" fillId="0" borderId="17" xfId="0" applyFont="1" applyFill="1" applyBorder="1" applyAlignment="1">
      <alignment horizontal="center" vertical="center"/>
    </xf>
    <xf numFmtId="0" fontId="27" fillId="0" borderId="0" xfId="0" applyFont="1" applyFill="1" applyBorder="1" applyAlignment="1">
      <alignment horizontal="center" vertical="center"/>
    </xf>
    <xf numFmtId="0" fontId="27" fillId="0" borderId="18" xfId="0" applyFont="1" applyFill="1" applyBorder="1" applyAlignment="1">
      <alignment horizontal="center" vertical="center"/>
    </xf>
    <xf numFmtId="0" fontId="32" fillId="0" borderId="0" xfId="0" applyFont="1" applyFill="1" applyBorder="1" applyAlignment="1">
      <alignment horizontal="center" vertical="center"/>
    </xf>
    <xf numFmtId="0" fontId="31" fillId="0" borderId="0" xfId="0" applyFont="1" applyFill="1" applyBorder="1" applyAlignment="1">
      <alignment horizontal="center" vertical="center"/>
    </xf>
    <xf numFmtId="167" fontId="31" fillId="0" borderId="0" xfId="0" applyNumberFormat="1" applyFont="1" applyFill="1" applyBorder="1" applyAlignment="1">
      <alignment horizontal="left" vertical="center"/>
    </xf>
    <xf numFmtId="0" fontId="31" fillId="0" borderId="0" xfId="0" applyFont="1" applyFill="1" applyBorder="1" applyAlignment="1">
      <alignment horizontal="left" vertical="center"/>
    </xf>
    <xf numFmtId="0" fontId="33" fillId="0" borderId="0" xfId="0" applyFont="1" applyFill="1" applyBorder="1" applyAlignment="1">
      <alignment horizontal="center" vertical="center"/>
    </xf>
    <xf numFmtId="0" fontId="29" fillId="3" borderId="9" xfId="0" applyFont="1" applyFill="1" applyBorder="1" applyAlignment="1">
      <alignment horizontal="center" vertical="center" wrapText="1"/>
    </xf>
    <xf numFmtId="0" fontId="29" fillId="3" borderId="10" xfId="0" applyFont="1" applyFill="1" applyBorder="1" applyAlignment="1">
      <alignment horizontal="center" vertical="center" wrapText="1"/>
    </xf>
    <xf numFmtId="0" fontId="29" fillId="3" borderId="0" xfId="0" applyFont="1" applyFill="1" applyBorder="1" applyAlignment="1">
      <alignment horizontal="center" vertical="center" wrapText="1"/>
    </xf>
    <xf numFmtId="0" fontId="29" fillId="3" borderId="11" xfId="0" applyFont="1" applyFill="1" applyBorder="1" applyAlignment="1">
      <alignment horizontal="center" vertical="center" wrapText="1"/>
    </xf>
    <xf numFmtId="0" fontId="29" fillId="3" borderId="12" xfId="0" applyFont="1" applyFill="1" applyBorder="1" applyAlignment="1">
      <alignment horizontal="center" vertical="center" wrapText="1"/>
    </xf>
    <xf numFmtId="0" fontId="29" fillId="3" borderId="13" xfId="0" applyFont="1" applyFill="1" applyBorder="1" applyAlignment="1">
      <alignment horizontal="center" vertical="center" wrapText="1"/>
    </xf>
    <xf numFmtId="49" fontId="10" fillId="0" borderId="14" xfId="0" applyNumberFormat="1" applyFont="1" applyBorder="1" applyAlignment="1" applyProtection="1">
      <alignment horizontal="center" vertical="center"/>
      <protection locked="0"/>
    </xf>
    <xf numFmtId="49" fontId="10" fillId="0" borderId="15" xfId="0" applyNumberFormat="1" applyFont="1" applyBorder="1" applyAlignment="1" applyProtection="1">
      <alignment horizontal="center" vertical="center"/>
      <protection locked="0"/>
    </xf>
    <xf numFmtId="49" fontId="10" fillId="0" borderId="16" xfId="0" applyNumberFormat="1" applyFont="1" applyBorder="1" applyAlignment="1" applyProtection="1">
      <alignment horizontal="center" vertical="center"/>
      <protection locked="0"/>
    </xf>
    <xf numFmtId="49" fontId="10" fillId="0" borderId="17" xfId="0" applyNumberFormat="1" applyFont="1" applyBorder="1" applyAlignment="1" applyProtection="1">
      <alignment horizontal="center" vertical="center"/>
      <protection locked="0"/>
    </xf>
    <xf numFmtId="49" fontId="10" fillId="0" borderId="0" xfId="0" applyNumberFormat="1" applyFont="1" applyAlignment="1" applyProtection="1">
      <alignment horizontal="center" vertical="center"/>
      <protection locked="0"/>
    </xf>
    <xf numFmtId="49" fontId="10" fillId="0" borderId="18" xfId="0" applyNumberFormat="1" applyFont="1" applyBorder="1" applyAlignment="1" applyProtection="1">
      <alignment horizontal="center" vertical="center"/>
      <protection locked="0"/>
    </xf>
    <xf numFmtId="49" fontId="10" fillId="0" borderId="6" xfId="0" applyNumberFormat="1" applyFont="1" applyBorder="1" applyAlignment="1" applyProtection="1">
      <alignment horizontal="center" vertical="center"/>
      <protection locked="0"/>
    </xf>
    <xf numFmtId="49" fontId="10" fillId="0" borderId="19" xfId="0" applyNumberFormat="1" applyFont="1" applyBorder="1" applyAlignment="1" applyProtection="1">
      <alignment horizontal="center" vertical="center"/>
      <protection locked="0"/>
    </xf>
    <xf numFmtId="49" fontId="10" fillId="0" borderId="20" xfId="0" applyNumberFormat="1" applyFont="1" applyBorder="1" applyAlignment="1" applyProtection="1">
      <alignment horizontal="center" vertical="center"/>
      <protection locked="0"/>
    </xf>
    <xf numFmtId="49" fontId="17" fillId="6" borderId="4" xfId="0" applyNumberFormat="1" applyFont="1" applyFill="1" applyBorder="1" applyAlignment="1">
      <alignment horizontal="left" vertical="center"/>
    </xf>
    <xf numFmtId="49" fontId="17" fillId="6" borderId="8" xfId="0" applyNumberFormat="1" applyFont="1" applyFill="1" applyBorder="1" applyAlignment="1">
      <alignment horizontal="left" vertical="center"/>
    </xf>
    <xf numFmtId="49" fontId="17" fillId="6" borderId="7" xfId="0" applyNumberFormat="1" applyFont="1" applyFill="1" applyBorder="1" applyAlignment="1">
      <alignment horizontal="left" vertical="center"/>
    </xf>
    <xf numFmtId="49" fontId="10" fillId="11" borderId="4" xfId="0" applyNumberFormat="1" applyFont="1" applyFill="1" applyBorder="1" applyAlignment="1" applyProtection="1">
      <alignment horizontal="center" vertical="center"/>
      <protection locked="0"/>
    </xf>
    <xf numFmtId="49" fontId="10" fillId="11" borderId="8" xfId="0" applyNumberFormat="1" applyFont="1" applyFill="1" applyBorder="1" applyAlignment="1" applyProtection="1">
      <alignment horizontal="center" vertical="center"/>
      <protection locked="0"/>
    </xf>
    <xf numFmtId="49" fontId="10" fillId="11" borderId="7" xfId="0" applyNumberFormat="1" applyFont="1" applyFill="1" applyBorder="1" applyAlignment="1" applyProtection="1">
      <alignment horizontal="center" vertical="center"/>
      <protection locked="0"/>
    </xf>
    <xf numFmtId="49" fontId="17" fillId="6" borderId="4" xfId="0" applyNumberFormat="1" applyFont="1" applyFill="1" applyBorder="1" applyAlignment="1">
      <alignment horizontal="center" vertical="center"/>
    </xf>
    <xf numFmtId="49" fontId="17" fillId="6" borderId="8" xfId="0" applyNumberFormat="1" applyFont="1" applyFill="1" applyBorder="1" applyAlignment="1">
      <alignment horizontal="center" vertical="center"/>
    </xf>
    <xf numFmtId="49" fontId="17" fillId="6" borderId="7" xfId="0" applyNumberFormat="1" applyFont="1" applyFill="1" applyBorder="1" applyAlignment="1">
      <alignment horizontal="center" vertical="center"/>
    </xf>
    <xf numFmtId="14" fontId="14" fillId="0" borderId="4" xfId="0" applyNumberFormat="1" applyFont="1" applyBorder="1" applyAlignment="1">
      <alignment horizontal="center" vertical="center"/>
    </xf>
    <xf numFmtId="0" fontId="14" fillId="0" borderId="8" xfId="0" applyNumberFormat="1" applyFont="1" applyBorder="1" applyAlignment="1">
      <alignment horizontal="center" vertical="center"/>
    </xf>
    <xf numFmtId="0" fontId="14" fillId="0" borderId="7" xfId="0" applyNumberFormat="1" applyFont="1" applyBorder="1" applyAlignment="1">
      <alignment horizontal="center" vertical="center"/>
    </xf>
    <xf numFmtId="49" fontId="17" fillId="6" borderId="1" xfId="0" applyNumberFormat="1" applyFont="1" applyFill="1" applyBorder="1" applyAlignment="1">
      <alignment horizontal="left" vertical="center"/>
    </xf>
    <xf numFmtId="49" fontId="17" fillId="6" borderId="14" xfId="0" applyNumberFormat="1" applyFont="1" applyFill="1" applyBorder="1" applyAlignment="1">
      <alignment horizontal="center" vertical="center" wrapText="1"/>
    </xf>
    <xf numFmtId="49" fontId="17" fillId="6" borderId="15" xfId="0" applyNumberFormat="1" applyFont="1" applyFill="1" applyBorder="1" applyAlignment="1">
      <alignment horizontal="center" vertical="center" wrapText="1"/>
    </xf>
    <xf numFmtId="49" fontId="17" fillId="6" borderId="16" xfId="0" applyNumberFormat="1" applyFont="1" applyFill="1" applyBorder="1" applyAlignment="1">
      <alignment horizontal="center" vertical="center" wrapText="1"/>
    </xf>
    <xf numFmtId="49" fontId="17" fillId="6" borderId="17" xfId="0" applyNumberFormat="1" applyFont="1" applyFill="1" applyBorder="1" applyAlignment="1">
      <alignment horizontal="center" vertical="center" wrapText="1"/>
    </xf>
    <xf numFmtId="49" fontId="17" fillId="6" borderId="0" xfId="0" applyNumberFormat="1" applyFont="1" applyFill="1" applyBorder="1" applyAlignment="1">
      <alignment horizontal="center" vertical="center" wrapText="1"/>
    </xf>
    <xf numFmtId="49" fontId="17" fillId="6" borderId="18" xfId="0" applyNumberFormat="1" applyFont="1" applyFill="1" applyBorder="1" applyAlignment="1">
      <alignment horizontal="center" vertical="center" wrapText="1"/>
    </xf>
    <xf numFmtId="49" fontId="17" fillId="6" borderId="6" xfId="0" applyNumberFormat="1" applyFont="1" applyFill="1" applyBorder="1" applyAlignment="1">
      <alignment horizontal="center" vertical="center" wrapText="1"/>
    </xf>
    <xf numFmtId="49" fontId="17" fillId="6" borderId="19" xfId="0" applyNumberFormat="1" applyFont="1" applyFill="1" applyBorder="1" applyAlignment="1">
      <alignment horizontal="center" vertical="center" wrapText="1"/>
    </xf>
    <xf numFmtId="49" fontId="17" fillId="6" borderId="20" xfId="0" applyNumberFormat="1" applyFont="1" applyFill="1" applyBorder="1" applyAlignment="1">
      <alignment horizontal="center" vertical="center" wrapText="1"/>
    </xf>
    <xf numFmtId="49" fontId="17" fillId="5" borderId="14" xfId="0" applyNumberFormat="1" applyFont="1" applyFill="1" applyBorder="1" applyAlignment="1">
      <alignment horizontal="left" vertical="top" wrapText="1"/>
    </xf>
    <xf numFmtId="49" fontId="17" fillId="5" borderId="15" xfId="0" applyNumberFormat="1" applyFont="1" applyFill="1" applyBorder="1" applyAlignment="1">
      <alignment horizontal="left" vertical="top" wrapText="1"/>
    </xf>
    <xf numFmtId="49" fontId="17" fillId="5" borderId="16" xfId="0" applyNumberFormat="1" applyFont="1" applyFill="1" applyBorder="1" applyAlignment="1">
      <alignment horizontal="left" vertical="top" wrapText="1"/>
    </xf>
    <xf numFmtId="49" fontId="17" fillId="5" borderId="17" xfId="0" applyNumberFormat="1" applyFont="1" applyFill="1" applyBorder="1" applyAlignment="1">
      <alignment horizontal="left" vertical="top" wrapText="1"/>
    </xf>
    <xf numFmtId="49" fontId="17" fillId="5" borderId="0" xfId="0" applyNumberFormat="1" applyFont="1" applyFill="1" applyBorder="1" applyAlignment="1">
      <alignment horizontal="left" vertical="top" wrapText="1"/>
    </xf>
    <xf numFmtId="49" fontId="17" fillId="5" borderId="18" xfId="0" applyNumberFormat="1" applyFont="1" applyFill="1" applyBorder="1" applyAlignment="1">
      <alignment horizontal="left" vertical="top" wrapText="1"/>
    </xf>
    <xf numFmtId="49" fontId="17" fillId="5" borderId="6" xfId="0" applyNumberFormat="1" applyFont="1" applyFill="1" applyBorder="1" applyAlignment="1">
      <alignment horizontal="left" vertical="top" wrapText="1"/>
    </xf>
    <xf numFmtId="49" fontId="17" fillId="5" borderId="19" xfId="0" applyNumberFormat="1" applyFont="1" applyFill="1" applyBorder="1" applyAlignment="1">
      <alignment horizontal="left" vertical="top" wrapText="1"/>
    </xf>
    <xf numFmtId="49" fontId="17" fillId="5" borderId="20" xfId="0" applyNumberFormat="1" applyFont="1" applyFill="1" applyBorder="1" applyAlignment="1">
      <alignment horizontal="left" vertical="top" wrapText="1"/>
    </xf>
    <xf numFmtId="49" fontId="10" fillId="0" borderId="14" xfId="0" applyNumberFormat="1" applyFont="1" applyBorder="1" applyAlignment="1">
      <alignment horizontal="center" vertical="center"/>
    </xf>
    <xf numFmtId="49" fontId="10" fillId="0" borderId="15" xfId="0" applyNumberFormat="1" applyFont="1" applyBorder="1" applyAlignment="1">
      <alignment horizontal="center" vertical="center"/>
    </xf>
    <xf numFmtId="49" fontId="10" fillId="0" borderId="17" xfId="0" applyNumberFormat="1" applyFont="1" applyBorder="1" applyAlignment="1">
      <alignment horizontal="center" vertical="center"/>
    </xf>
    <xf numFmtId="49" fontId="10" fillId="0" borderId="0" xfId="0" applyNumberFormat="1" applyFont="1" applyAlignment="1">
      <alignment horizontal="center" vertical="center"/>
    </xf>
    <xf numFmtId="49" fontId="10" fillId="0" borderId="6" xfId="0" applyNumberFormat="1" applyFont="1" applyBorder="1" applyAlignment="1">
      <alignment horizontal="center" vertical="center"/>
    </xf>
    <xf numFmtId="49" fontId="10" fillId="0" borderId="19" xfId="0" applyNumberFormat="1" applyFont="1" applyBorder="1" applyAlignment="1">
      <alignment horizontal="center" vertical="center"/>
    </xf>
    <xf numFmtId="49" fontId="11" fillId="0" borderId="14" xfId="0" applyNumberFormat="1" applyFont="1" applyBorder="1" applyAlignment="1">
      <alignment horizontal="center" vertical="center" wrapText="1"/>
    </xf>
    <xf numFmtId="49" fontId="12" fillId="0" borderId="15" xfId="0" applyNumberFormat="1" applyFont="1" applyBorder="1" applyAlignment="1">
      <alignment horizontal="center" vertical="center"/>
    </xf>
    <xf numFmtId="49" fontId="12" fillId="0" borderId="16" xfId="0" applyNumberFormat="1" applyFont="1" applyBorder="1" applyAlignment="1">
      <alignment horizontal="center" vertical="center"/>
    </xf>
    <xf numFmtId="49" fontId="12" fillId="0" borderId="17" xfId="0" applyNumberFormat="1" applyFont="1" applyBorder="1" applyAlignment="1">
      <alignment horizontal="center" vertical="center"/>
    </xf>
    <xf numFmtId="49" fontId="12" fillId="0" borderId="0" xfId="0" applyNumberFormat="1" applyFont="1" applyAlignment="1">
      <alignment horizontal="center" vertical="center"/>
    </xf>
    <xf numFmtId="49" fontId="12" fillId="0" borderId="18" xfId="0" applyNumberFormat="1" applyFont="1" applyBorder="1" applyAlignment="1">
      <alignment horizontal="center" vertical="center"/>
    </xf>
    <xf numFmtId="49" fontId="12" fillId="0" borderId="6" xfId="0" applyNumberFormat="1" applyFont="1" applyBorder="1" applyAlignment="1">
      <alignment horizontal="center" vertical="center"/>
    </xf>
    <xf numFmtId="49" fontId="12" fillId="0" borderId="19" xfId="0" applyNumberFormat="1" applyFont="1" applyBorder="1" applyAlignment="1">
      <alignment horizontal="center" vertical="center"/>
    </xf>
    <xf numFmtId="49" fontId="12" fillId="0" borderId="20" xfId="0" applyNumberFormat="1" applyFont="1" applyBorder="1" applyAlignment="1">
      <alignment horizontal="center" vertical="center"/>
    </xf>
    <xf numFmtId="49" fontId="14" fillId="0" borderId="0" xfId="0" applyNumberFormat="1" applyFont="1" applyAlignment="1">
      <alignment horizontal="center" vertical="center" wrapText="1"/>
    </xf>
    <xf numFmtId="165" fontId="15" fillId="0" borderId="19" xfId="0" applyNumberFormat="1" applyFont="1" applyBorder="1" applyAlignment="1" applyProtection="1">
      <alignment horizontal="center" vertical="center" shrinkToFit="1"/>
      <protection locked="0"/>
    </xf>
    <xf numFmtId="49" fontId="18" fillId="11" borderId="1" xfId="0" applyNumberFormat="1" applyFont="1" applyFill="1" applyBorder="1" applyAlignment="1">
      <alignment horizontal="center" vertical="center"/>
    </xf>
    <xf numFmtId="49" fontId="3" fillId="0" borderId="21" xfId="0" applyNumberFormat="1" applyFont="1" applyBorder="1" applyAlignment="1">
      <alignment horizontal="center" wrapText="1"/>
    </xf>
    <xf numFmtId="0" fontId="3" fillId="0" borderId="2" xfId="0" applyFont="1" applyBorder="1" applyAlignment="1">
      <alignment horizontal="center" wrapText="1"/>
    </xf>
  </cellXfs>
  <cellStyles count="5">
    <cellStyle name="Hiperlink" xfId="4" builtinId="8"/>
    <cellStyle name="Normal" xfId="0" builtinId="0"/>
    <cellStyle name="Normal 2" xfId="2" xr:uid="{00000000-0005-0000-0000-000001000000}"/>
    <cellStyle name="Normal 3" xfId="3" xr:uid="{00000000-0005-0000-0000-000002000000}"/>
    <cellStyle name="Porcentagem" xfId="1" builtinId="5"/>
  </cellStyles>
  <dxfs count="4">
    <dxf>
      <font>
        <b/>
        <i val="0"/>
        <color auto="1"/>
      </font>
      <fill>
        <patternFill>
          <bgColor rgb="FF00B050"/>
        </patternFill>
      </fill>
    </dxf>
    <dxf>
      <font>
        <b/>
        <i val="0"/>
        <color theme="0"/>
      </font>
      <fill>
        <patternFill>
          <bgColor rgb="FFFF0000"/>
        </patternFill>
      </fill>
    </dxf>
    <dxf>
      <font>
        <color theme="1"/>
      </font>
      <fill>
        <patternFill>
          <bgColor rgb="FF92D050"/>
        </patternFill>
      </fill>
    </dxf>
    <dxf>
      <fill>
        <patternFill>
          <bgColor rgb="FFFF0000"/>
        </patternFill>
      </fill>
    </dxf>
  </dxfs>
  <tableStyles count="0" defaultTableStyle="TableStyleMedium2" defaultPivotStyle="PivotStyleLight16"/>
  <colors>
    <mruColors>
      <color rgb="FF00192D"/>
      <color rgb="FF000F2D"/>
      <color rgb="FF203715"/>
      <color rgb="FF00002D"/>
      <color rgb="FF000023"/>
      <color rgb="FF000000"/>
      <color rgb="FF000041"/>
      <color rgb="FF000068"/>
      <color rgb="FFFF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INPUT!A1"/><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13607</xdr:colOff>
      <xdr:row>2</xdr:row>
      <xdr:rowOff>123825</xdr:rowOff>
    </xdr:to>
    <xdr:sp macro="" textlink="">
      <xdr:nvSpPr>
        <xdr:cNvPr id="2" name="Retângulo 1">
          <a:extLst>
            <a:ext uri="{FF2B5EF4-FFF2-40B4-BE49-F238E27FC236}">
              <a16:creationId xmlns:a16="http://schemas.microsoft.com/office/drawing/2014/main" id="{5EE81B7D-6508-4B3D-A710-5B6C9614E6D6}"/>
            </a:ext>
          </a:extLst>
        </xdr:cNvPr>
        <xdr:cNvSpPr/>
      </xdr:nvSpPr>
      <xdr:spPr>
        <a:xfrm>
          <a:off x="0" y="0"/>
          <a:ext cx="12929507" cy="504825"/>
        </a:xfrm>
        <a:prstGeom prst="rect">
          <a:avLst/>
        </a:prstGeom>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800" b="1">
              <a:solidFill>
                <a:srgbClr val="001642"/>
              </a:solidFill>
            </a:rPr>
            <a:t>LAUDO DE DEVOLUÇÃO NEGADA - LDN</a:t>
          </a:r>
        </a:p>
      </xdr:txBody>
    </xdr:sp>
    <xdr:clientData/>
  </xdr:twoCellAnchor>
  <xdr:twoCellAnchor editAs="oneCell">
    <xdr:from>
      <xdr:col>0</xdr:col>
      <xdr:colOff>66675</xdr:colOff>
      <xdr:row>0</xdr:row>
      <xdr:rowOff>66675</xdr:rowOff>
    </xdr:from>
    <xdr:to>
      <xdr:col>2</xdr:col>
      <xdr:colOff>218639</xdr:colOff>
      <xdr:row>2</xdr:row>
      <xdr:rowOff>66675</xdr:rowOff>
    </xdr:to>
    <xdr:pic>
      <xdr:nvPicPr>
        <xdr:cNvPr id="3" name="Imagem 2">
          <a:extLst>
            <a:ext uri="{FF2B5EF4-FFF2-40B4-BE49-F238E27FC236}">
              <a16:creationId xmlns:a16="http://schemas.microsoft.com/office/drawing/2014/main" id="{B148D7D5-4049-4B44-BE4C-7E53E7DFD4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66675"/>
          <a:ext cx="942539" cy="381000"/>
        </a:xfrm>
        <a:prstGeom prst="rect">
          <a:avLst/>
        </a:prstGeom>
      </xdr:spPr>
    </xdr:pic>
    <xdr:clientData/>
  </xdr:twoCellAnchor>
  <xdr:twoCellAnchor editAs="oneCell">
    <xdr:from>
      <xdr:col>19</xdr:col>
      <xdr:colOff>127000</xdr:colOff>
      <xdr:row>11</xdr:row>
      <xdr:rowOff>21168</xdr:rowOff>
    </xdr:from>
    <xdr:to>
      <xdr:col>22</xdr:col>
      <xdr:colOff>243417</xdr:colOff>
      <xdr:row>13</xdr:row>
      <xdr:rowOff>48724</xdr:rowOff>
    </xdr:to>
    <xdr:pic>
      <xdr:nvPicPr>
        <xdr:cNvPr id="4" name="Imagem 3">
          <a:extLst>
            <a:ext uri="{FF2B5EF4-FFF2-40B4-BE49-F238E27FC236}">
              <a16:creationId xmlns:a16="http://schemas.microsoft.com/office/drawing/2014/main" id="{E1C5CA65-51FB-4C81-93A5-3D7A3F722E3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2193" t="42482" r="41077" b="40487"/>
        <a:stretch/>
      </xdr:blipFill>
      <xdr:spPr>
        <a:xfrm>
          <a:off x="10499725" y="2288118"/>
          <a:ext cx="2049992" cy="1180081"/>
        </a:xfrm>
        <a:prstGeom prst="rect">
          <a:avLst/>
        </a:prstGeom>
      </xdr:spPr>
    </xdr:pic>
    <xdr:clientData/>
  </xdr:twoCellAnchor>
  <xdr:twoCellAnchor>
    <xdr:from>
      <xdr:col>19</xdr:col>
      <xdr:colOff>222926</xdr:colOff>
      <xdr:row>0</xdr:row>
      <xdr:rowOff>0</xdr:rowOff>
    </xdr:from>
    <xdr:to>
      <xdr:col>22</xdr:col>
      <xdr:colOff>557314</xdr:colOff>
      <xdr:row>2</xdr:row>
      <xdr:rowOff>111463</xdr:rowOff>
    </xdr:to>
    <xdr:sp macro="" textlink="">
      <xdr:nvSpPr>
        <xdr:cNvPr id="5" name="Retângulo: Biselado 4">
          <a:hlinkClick xmlns:r="http://schemas.openxmlformats.org/officeDocument/2006/relationships" r:id="rId3"/>
          <a:extLst>
            <a:ext uri="{FF2B5EF4-FFF2-40B4-BE49-F238E27FC236}">
              <a16:creationId xmlns:a16="http://schemas.microsoft.com/office/drawing/2014/main" id="{51E6EE5E-7167-4851-9881-BEFC49EF2039}"/>
            </a:ext>
          </a:extLst>
        </xdr:cNvPr>
        <xdr:cNvSpPr/>
      </xdr:nvSpPr>
      <xdr:spPr>
        <a:xfrm>
          <a:off x="10595651" y="0"/>
          <a:ext cx="2267963" cy="492463"/>
        </a:xfrm>
        <a:prstGeom prst="bevel">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PREENCHER</a:t>
          </a:r>
          <a:r>
            <a:rPr lang="pt-BR" sz="1400" b="1" baseline="0"/>
            <a:t> SOLICITAÇÃO</a:t>
          </a:r>
          <a:endParaRPr lang="pt-BR" sz="14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68</xdr:col>
      <xdr:colOff>358592</xdr:colOff>
      <xdr:row>58</xdr:row>
      <xdr:rowOff>22409</xdr:rowOff>
    </xdr:from>
    <xdr:to>
      <xdr:col>71</xdr:col>
      <xdr:colOff>201709</xdr:colOff>
      <xdr:row>70</xdr:row>
      <xdr:rowOff>148163</xdr:rowOff>
    </xdr:to>
    <xdr:sp macro="" textlink="">
      <xdr:nvSpPr>
        <xdr:cNvPr id="7" name="Fluxograma: Terminação 6">
          <a:extLst>
            <a:ext uri="{FF2B5EF4-FFF2-40B4-BE49-F238E27FC236}">
              <a16:creationId xmlns:a16="http://schemas.microsoft.com/office/drawing/2014/main" id="{DCC885F2-4737-44D3-A8F4-1976A141B38E}"/>
            </a:ext>
          </a:extLst>
        </xdr:cNvPr>
        <xdr:cNvSpPr/>
      </xdr:nvSpPr>
      <xdr:spPr>
        <a:xfrm rot="16200000">
          <a:off x="11255690" y="195477"/>
          <a:ext cx="1628588" cy="1684617"/>
        </a:xfrm>
        <a:prstGeom prst="flowChartTerminator">
          <a:avLst/>
        </a:prstGeom>
        <a:solidFill>
          <a:schemeClr val="bg1">
            <a:lumMod val="50000"/>
          </a:schemeClr>
        </a:solidFill>
        <a:ln w="7620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69</xdr:col>
      <xdr:colOff>0</xdr:colOff>
      <xdr:row>59</xdr:row>
      <xdr:rowOff>124198</xdr:rowOff>
    </xdr:from>
    <xdr:to>
      <xdr:col>71</xdr:col>
      <xdr:colOff>498</xdr:colOff>
      <xdr:row>69</xdr:row>
      <xdr:rowOff>4888</xdr:rowOff>
    </xdr:to>
    <xdr:pic macro="[0]!imprimir">
      <xdr:nvPicPr>
        <xdr:cNvPr id="8" name="Imagem 7">
          <a:extLst>
            <a:ext uri="{FF2B5EF4-FFF2-40B4-BE49-F238E27FC236}">
              <a16:creationId xmlns:a16="http://schemas.microsoft.com/office/drawing/2014/main" id="{7E9228A3-D804-4884-9A57-6B27F34D5E4A}"/>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3682" t="3623" r="11357" b="5797"/>
        <a:stretch/>
      </xdr:blipFill>
      <xdr:spPr>
        <a:xfrm>
          <a:off x="12223750" y="420531"/>
          <a:ext cx="1217582" cy="1193023"/>
        </a:xfrm>
        <a:prstGeom prst="rect">
          <a:avLst/>
        </a:prstGeom>
      </xdr:spPr>
    </xdr:pic>
    <xdr:clientData/>
  </xdr:twoCellAnchor>
  <xdr:twoCellAnchor editAs="oneCell">
    <xdr:from>
      <xdr:col>1</xdr:col>
      <xdr:colOff>105833</xdr:colOff>
      <xdr:row>58</xdr:row>
      <xdr:rowOff>52916</xdr:rowOff>
    </xdr:from>
    <xdr:to>
      <xdr:col>12</xdr:col>
      <xdr:colOff>92075</xdr:colOff>
      <xdr:row>61</xdr:row>
      <xdr:rowOff>78659</xdr:rowOff>
    </xdr:to>
    <xdr:pic>
      <xdr:nvPicPr>
        <xdr:cNvPr id="4" name="Imagem 3">
          <a:extLst>
            <a:ext uri="{FF2B5EF4-FFF2-40B4-BE49-F238E27FC236}">
              <a16:creationId xmlns:a16="http://schemas.microsoft.com/office/drawing/2014/main" id="{1A854904-47A6-4A85-8B12-0800BCCA80C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4000" y="253999"/>
          <a:ext cx="1266825" cy="4596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76200</xdr:colOff>
      <xdr:row>3</xdr:row>
      <xdr:rowOff>38100</xdr:rowOff>
    </xdr:from>
    <xdr:to>
      <xdr:col>37</xdr:col>
      <xdr:colOff>1920</xdr:colOff>
      <xdr:row>6</xdr:row>
      <xdr:rowOff>57150</xdr:rowOff>
    </xdr:to>
    <xdr:pic>
      <xdr:nvPicPr>
        <xdr:cNvPr id="6" name="Imagem 5">
          <a:extLst>
            <a:ext uri="{FF2B5EF4-FFF2-40B4-BE49-F238E27FC236}">
              <a16:creationId xmlns:a16="http://schemas.microsoft.com/office/drawing/2014/main" id="{A9ADDE21-18A2-4606-BC0E-DF3DDD10082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609600"/>
          <a:ext cx="158307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48</xdr:col>
      <xdr:colOff>29593</xdr:colOff>
      <xdr:row>32</xdr:row>
      <xdr:rowOff>36739</xdr:rowOff>
    </xdr:from>
    <xdr:to>
      <xdr:col>54</xdr:col>
      <xdr:colOff>336148</xdr:colOff>
      <xdr:row>37</xdr:row>
      <xdr:rowOff>81644</xdr:rowOff>
    </xdr:to>
    <xdr:pic>
      <xdr:nvPicPr>
        <xdr:cNvPr id="10" name="Imagem 9">
          <a:extLst>
            <a:ext uri="{FF2B5EF4-FFF2-40B4-BE49-F238E27FC236}">
              <a16:creationId xmlns:a16="http://schemas.microsoft.com/office/drawing/2014/main" id="{9458FA9F-872C-4091-93A7-AAA558F588AE}"/>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8022" y="6214382"/>
          <a:ext cx="959697" cy="10110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40820</xdr:colOff>
      <xdr:row>46</xdr:row>
      <xdr:rowOff>40821</xdr:rowOff>
    </xdr:from>
    <xdr:to>
      <xdr:col>56</xdr:col>
      <xdr:colOff>81643</xdr:colOff>
      <xdr:row>55</xdr:row>
      <xdr:rowOff>188842</xdr:rowOff>
    </xdr:to>
    <xdr:pic>
      <xdr:nvPicPr>
        <xdr:cNvPr id="14" name="Imagem 13">
          <a:extLst>
            <a:ext uri="{FF2B5EF4-FFF2-40B4-BE49-F238E27FC236}">
              <a16:creationId xmlns:a16="http://schemas.microsoft.com/office/drawing/2014/main" id="{FE172405-5032-42D9-B009-A1A61F65A4B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99356" y="8912678"/>
          <a:ext cx="6286501" cy="1862521"/>
        </a:xfrm>
        <a:prstGeom prst="rect">
          <a:avLst/>
        </a:prstGeom>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tayane.carvalho@futcorp.com.b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futfanatics.com.br/politica-de-trocas-e-devolucoes"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D7A05-4718-4FCA-A082-4B3304449171}">
  <sheetPr codeName="Planilha5"/>
  <dimension ref="A1:W19"/>
  <sheetViews>
    <sheetView zoomScale="94" zoomScaleNormal="94" workbookViewId="0"/>
  </sheetViews>
  <sheetFormatPr defaultRowHeight="15" x14ac:dyDescent="0.25"/>
  <cols>
    <col min="1" max="1" width="2.7109375" style="66" customWidth="1"/>
    <col min="2" max="5" width="9.140625" style="66"/>
    <col min="6" max="6" width="6.85546875" style="66" customWidth="1"/>
    <col min="7" max="9" width="9.140625" style="66"/>
    <col min="10" max="10" width="3.140625" style="66" customWidth="1"/>
    <col min="11" max="11" width="9.140625" style="66"/>
    <col min="12" max="12" width="6.5703125" style="66" customWidth="1"/>
    <col min="13" max="13" width="13.140625" style="66" customWidth="1"/>
    <col min="14" max="14" width="10.42578125" style="66" bestFit="1" customWidth="1"/>
    <col min="15" max="16" width="9.140625" style="66"/>
    <col min="17" max="17" width="7.42578125" style="66" customWidth="1"/>
    <col min="18" max="18" width="9.140625" style="66"/>
    <col min="19" max="19" width="4.7109375" style="66" customWidth="1"/>
    <col min="20" max="20" width="10.7109375" style="66" bestFit="1" customWidth="1"/>
    <col min="21" max="16384" width="9.140625" style="66"/>
  </cols>
  <sheetData>
    <row r="1" spans="1:23" x14ac:dyDescent="0.25">
      <c r="A1" s="65"/>
    </row>
    <row r="4" spans="1:23" ht="4.5" customHeight="1" x14ac:dyDescent="0.25">
      <c r="A4" s="100" t="s">
        <v>63</v>
      </c>
      <c r="B4" s="100"/>
      <c r="C4" s="100"/>
      <c r="D4" s="100"/>
      <c r="E4" s="100"/>
      <c r="F4" s="100"/>
      <c r="G4" s="100"/>
      <c r="H4" s="100"/>
      <c r="I4" s="100"/>
      <c r="J4" s="100"/>
      <c r="K4" s="100"/>
      <c r="L4" s="100"/>
      <c r="M4" s="100"/>
      <c r="N4" s="100"/>
      <c r="O4" s="100"/>
      <c r="P4" s="100"/>
      <c r="Q4" s="100"/>
      <c r="R4" s="100"/>
      <c r="S4" s="100"/>
      <c r="T4" s="100"/>
      <c r="U4" s="100"/>
      <c r="V4" s="100"/>
      <c r="W4" s="100"/>
    </row>
    <row r="5" spans="1:23" ht="25.5" customHeight="1" x14ac:dyDescent="0.25">
      <c r="A5" s="100"/>
      <c r="B5" s="100"/>
      <c r="C5" s="100"/>
      <c r="D5" s="100"/>
      <c r="E5" s="100"/>
      <c r="F5" s="100"/>
      <c r="G5" s="100"/>
      <c r="H5" s="100"/>
      <c r="I5" s="100"/>
      <c r="J5" s="100"/>
      <c r="K5" s="100"/>
      <c r="L5" s="100"/>
      <c r="M5" s="100"/>
      <c r="N5" s="100"/>
      <c r="O5" s="100"/>
      <c r="P5" s="100"/>
      <c r="Q5" s="100"/>
      <c r="R5" s="100"/>
      <c r="S5" s="100"/>
      <c r="T5" s="100"/>
      <c r="U5" s="100"/>
      <c r="V5" s="100"/>
      <c r="W5" s="100"/>
    </row>
    <row r="6" spans="1:23" ht="6.75" customHeight="1" x14ac:dyDescent="0.25"/>
    <row r="7" spans="1:23" ht="18.75" x14ac:dyDescent="0.25">
      <c r="A7" s="101" t="s">
        <v>64</v>
      </c>
      <c r="B7" s="101"/>
      <c r="C7" s="101"/>
      <c r="D7" s="101"/>
      <c r="E7" s="101"/>
      <c r="F7" s="101"/>
      <c r="G7" s="101"/>
      <c r="H7" s="101"/>
      <c r="I7" s="101"/>
      <c r="J7" s="101"/>
      <c r="K7" s="101"/>
      <c r="L7" s="101"/>
      <c r="M7" s="101"/>
      <c r="N7" s="101"/>
      <c r="O7" s="101"/>
      <c r="P7" s="101"/>
      <c r="Q7" s="101"/>
      <c r="R7" s="101"/>
      <c r="S7" s="101"/>
      <c r="T7" s="101"/>
      <c r="U7" s="101"/>
      <c r="V7" s="101"/>
      <c r="W7" s="101"/>
    </row>
    <row r="8" spans="1:23" ht="6" customHeight="1" x14ac:dyDescent="0.25"/>
    <row r="9" spans="1:23" ht="46.5" customHeight="1" x14ac:dyDescent="0.25">
      <c r="A9" s="99" t="s">
        <v>65</v>
      </c>
      <c r="B9" s="99"/>
      <c r="C9" s="99"/>
      <c r="D9" s="99"/>
      <c r="E9" s="99"/>
      <c r="F9" s="99"/>
      <c r="G9" s="99"/>
      <c r="H9" s="99"/>
      <c r="I9" s="99"/>
      <c r="J9" s="99"/>
      <c r="K9" s="99"/>
      <c r="L9" s="99"/>
      <c r="M9" s="99"/>
      <c r="N9" s="99"/>
      <c r="O9" s="99"/>
      <c r="P9" s="99"/>
      <c r="Q9" s="99"/>
      <c r="R9" s="99"/>
      <c r="S9" s="99"/>
      <c r="T9" s="99"/>
      <c r="U9" s="99"/>
      <c r="V9" s="99"/>
      <c r="W9" s="99"/>
    </row>
    <row r="10" spans="1:23" ht="6" customHeight="1" x14ac:dyDescent="0.3">
      <c r="B10" s="67"/>
    </row>
    <row r="11" spans="1:23" ht="19.5" customHeight="1" x14ac:dyDescent="0.25">
      <c r="A11" s="101" t="s">
        <v>66</v>
      </c>
      <c r="B11" s="101"/>
      <c r="C11" s="101"/>
      <c r="D11" s="101"/>
      <c r="E11" s="101"/>
      <c r="F11" s="101"/>
      <c r="G11" s="101"/>
      <c r="H11" s="101"/>
      <c r="I11" s="101"/>
      <c r="J11" s="101"/>
      <c r="K11" s="101"/>
      <c r="L11" s="101"/>
      <c r="M11" s="101"/>
      <c r="N11" s="101"/>
      <c r="O11" s="101"/>
      <c r="P11" s="101"/>
      <c r="Q11" s="101"/>
      <c r="R11" s="101"/>
      <c r="S11" s="101"/>
      <c r="T11" s="101"/>
      <c r="U11" s="101"/>
      <c r="V11" s="101"/>
      <c r="W11" s="101"/>
    </row>
    <row r="12" spans="1:23" ht="6" customHeight="1" x14ac:dyDescent="0.3">
      <c r="B12" s="67"/>
      <c r="C12" s="68"/>
      <c r="D12" s="68"/>
      <c r="E12" s="68"/>
      <c r="F12" s="68"/>
      <c r="G12" s="68"/>
      <c r="H12" s="68"/>
      <c r="I12" s="68"/>
      <c r="J12" s="68"/>
      <c r="K12" s="68"/>
      <c r="L12" s="68"/>
      <c r="M12" s="68"/>
    </row>
    <row r="13" spans="1:23" ht="84.75" customHeight="1" x14ac:dyDescent="0.25">
      <c r="A13" s="99" t="s">
        <v>67</v>
      </c>
      <c r="B13" s="99"/>
      <c r="C13" s="99"/>
      <c r="D13" s="99"/>
      <c r="E13" s="99"/>
      <c r="F13" s="99"/>
      <c r="G13" s="99"/>
      <c r="H13" s="99"/>
      <c r="I13" s="99"/>
      <c r="J13" s="99"/>
      <c r="K13" s="99"/>
      <c r="L13" s="99"/>
      <c r="M13" s="99"/>
      <c r="N13" s="99"/>
      <c r="O13" s="99"/>
      <c r="P13" s="99"/>
      <c r="Q13" s="99"/>
      <c r="R13" s="99"/>
      <c r="S13" s="69"/>
      <c r="T13" s="69"/>
      <c r="U13" s="69"/>
      <c r="V13" s="69"/>
      <c r="W13" s="69"/>
    </row>
    <row r="14" spans="1:23" ht="6" customHeight="1" x14ac:dyDescent="0.3">
      <c r="B14" s="67"/>
      <c r="C14" s="68"/>
      <c r="D14" s="68"/>
      <c r="E14" s="68"/>
      <c r="F14" s="68"/>
      <c r="G14" s="68"/>
      <c r="H14" s="68"/>
      <c r="I14" s="68"/>
      <c r="J14" s="68"/>
      <c r="K14" s="68"/>
      <c r="L14" s="68"/>
      <c r="M14" s="68"/>
    </row>
    <row r="15" spans="1:23" ht="19.5" customHeight="1" x14ac:dyDescent="0.25">
      <c r="A15" s="101" t="s">
        <v>68</v>
      </c>
      <c r="B15" s="101"/>
      <c r="C15" s="101"/>
      <c r="D15" s="101"/>
      <c r="E15" s="101"/>
      <c r="F15" s="101"/>
      <c r="G15" s="101"/>
      <c r="H15" s="101"/>
      <c r="I15" s="101"/>
      <c r="J15" s="101"/>
      <c r="K15" s="101"/>
      <c r="L15" s="101"/>
      <c r="M15" s="101"/>
      <c r="N15" s="101"/>
      <c r="O15" s="101"/>
      <c r="P15" s="101"/>
      <c r="Q15" s="101"/>
      <c r="R15" s="101"/>
      <c r="S15" s="101"/>
      <c r="T15" s="101"/>
      <c r="U15" s="101"/>
      <c r="V15" s="101"/>
      <c r="W15" s="101"/>
    </row>
    <row r="16" spans="1:23" ht="6" customHeight="1" x14ac:dyDescent="0.3">
      <c r="B16" s="67"/>
      <c r="C16" s="67"/>
      <c r="D16" s="67"/>
      <c r="E16" s="67"/>
      <c r="F16" s="67"/>
      <c r="G16" s="67"/>
      <c r="H16" s="67"/>
      <c r="I16" s="67"/>
      <c r="J16" s="67"/>
      <c r="K16" s="67"/>
      <c r="L16" s="67"/>
      <c r="M16" s="67"/>
      <c r="N16" s="67"/>
      <c r="O16" s="67"/>
      <c r="P16" s="67"/>
      <c r="Q16" s="67"/>
      <c r="R16" s="67"/>
      <c r="S16" s="67"/>
      <c r="T16" s="67"/>
      <c r="U16" s="67"/>
      <c r="V16" s="67"/>
    </row>
    <row r="17" spans="1:23" ht="46.5" customHeight="1" x14ac:dyDescent="0.25">
      <c r="A17" s="99" t="s">
        <v>69</v>
      </c>
      <c r="B17" s="99"/>
      <c r="C17" s="99"/>
      <c r="D17" s="99"/>
      <c r="E17" s="99"/>
      <c r="F17" s="99"/>
      <c r="G17" s="99"/>
      <c r="H17" s="99"/>
      <c r="I17" s="99"/>
      <c r="J17" s="99"/>
      <c r="K17" s="99"/>
      <c r="L17" s="99"/>
      <c r="M17" s="99"/>
      <c r="N17" s="99"/>
      <c r="O17" s="99"/>
      <c r="P17" s="99"/>
      <c r="Q17" s="99"/>
      <c r="R17" s="99"/>
      <c r="S17" s="99"/>
      <c r="T17" s="99"/>
      <c r="U17" s="99"/>
      <c r="V17" s="99"/>
      <c r="W17" s="99"/>
    </row>
    <row r="18" spans="1:23" ht="6" customHeight="1" x14ac:dyDescent="0.3">
      <c r="B18" s="67"/>
      <c r="C18" s="68"/>
      <c r="D18" s="68"/>
      <c r="E18" s="68"/>
      <c r="F18" s="68"/>
      <c r="G18" s="68"/>
      <c r="H18" s="68"/>
      <c r="I18" s="68"/>
      <c r="J18" s="68"/>
      <c r="K18" s="68"/>
      <c r="L18" s="68"/>
      <c r="M18" s="68"/>
    </row>
    <row r="19" spans="1:23" ht="15.75" x14ac:dyDescent="0.25">
      <c r="A19" s="70"/>
      <c r="B19" s="71"/>
      <c r="C19" s="71"/>
      <c r="D19" s="71"/>
      <c r="E19" s="71"/>
      <c r="F19" s="71"/>
      <c r="G19" s="71"/>
      <c r="H19" s="71"/>
      <c r="I19" s="71"/>
      <c r="J19" s="71"/>
      <c r="K19" s="71"/>
      <c r="L19" s="71"/>
      <c r="M19" s="71"/>
      <c r="N19" s="71"/>
      <c r="O19" s="71"/>
      <c r="P19" s="71"/>
      <c r="Q19" s="71"/>
      <c r="R19" s="71"/>
      <c r="S19" s="71"/>
      <c r="T19" s="71"/>
      <c r="U19" s="71"/>
      <c r="V19" s="71"/>
      <c r="W19" s="71"/>
    </row>
  </sheetData>
  <mergeCells count="7">
    <mergeCell ref="A17:W17"/>
    <mergeCell ref="A4:W5"/>
    <mergeCell ref="A7:W7"/>
    <mergeCell ref="A9:W9"/>
    <mergeCell ref="A11:W11"/>
    <mergeCell ref="A13:R13"/>
    <mergeCell ref="A15:W15"/>
  </mergeCells>
  <pageMargins left="0.511811024" right="0.511811024" top="0.78740157499999996" bottom="0.78740157499999996" header="0.31496062000000002" footer="0.31496062000000002"/>
  <pageSetup paperSize="9"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V40"/>
  <sheetViews>
    <sheetView topLeftCell="E1" zoomScaleNormal="100" workbookViewId="0">
      <selection activeCell="G17" sqref="G17"/>
    </sheetView>
  </sheetViews>
  <sheetFormatPr defaultRowHeight="15" x14ac:dyDescent="0.25"/>
  <cols>
    <col min="2" max="2" width="72.42578125" style="3" bestFit="1" customWidth="1"/>
    <col min="4" max="4" width="48.140625" bestFit="1" customWidth="1"/>
    <col min="6" max="6" width="15.7109375" bestFit="1" customWidth="1"/>
    <col min="7" max="7" width="50.85546875" bestFit="1" customWidth="1"/>
    <col min="8" max="8" width="44.7109375" bestFit="1" customWidth="1"/>
    <col min="9" max="9" width="28.42578125" bestFit="1" customWidth="1"/>
    <col min="10" max="10" width="25.7109375" bestFit="1" customWidth="1"/>
    <col min="11" max="11" width="219.42578125" bestFit="1" customWidth="1"/>
    <col min="14" max="14" width="53.140625" customWidth="1"/>
    <col min="15" max="15" width="36.7109375" customWidth="1"/>
    <col min="16" max="16" width="43.5703125" customWidth="1"/>
    <col min="17" max="17" width="46.85546875" bestFit="1" customWidth="1"/>
    <col min="18" max="18" width="25.5703125" bestFit="1" customWidth="1"/>
    <col min="19" max="19" width="33.140625" bestFit="1" customWidth="1"/>
    <col min="20" max="20" width="26" bestFit="1" customWidth="1"/>
    <col min="21" max="21" width="40.85546875" bestFit="1" customWidth="1"/>
    <col min="22" max="22" width="25.28515625" customWidth="1"/>
  </cols>
  <sheetData>
    <row r="1" spans="2:22" x14ac:dyDescent="0.25">
      <c r="F1" s="8">
        <f>INPUT!BB62</f>
        <v>0</v>
      </c>
      <c r="G1" s="19" t="s">
        <v>109</v>
      </c>
      <c r="H1" s="19" t="s">
        <v>70</v>
      </c>
      <c r="I1" s="19" t="s">
        <v>71</v>
      </c>
      <c r="J1" s="21" t="s">
        <v>110</v>
      </c>
      <c r="K1" s="11" t="str">
        <f>CONCATENATE(G1,"; ",H1,"; ",I1,"; ",J1)</f>
        <v>cid.andorfato@futcorp.com.br; bruno.torres@futcorp.com.br; wagner@senrasouza.com.br; qualidade@futfanatics.com.br; auditoria@futcorp.com.br; tayane.carvalho@futcorp.com.br; estoque@futcorp.com.br; contato@senrasouza.com.br</v>
      </c>
      <c r="N1" t="s">
        <v>81</v>
      </c>
    </row>
    <row r="2" spans="2:22" x14ac:dyDescent="0.25">
      <c r="B2" s="5" t="s">
        <v>41</v>
      </c>
      <c r="D2" s="5" t="s">
        <v>12</v>
      </c>
      <c r="F2" s="10" t="s">
        <v>1</v>
      </c>
      <c r="G2" s="10" t="s">
        <v>2</v>
      </c>
      <c r="H2" s="10" t="s">
        <v>3</v>
      </c>
      <c r="N2" t="s">
        <v>82</v>
      </c>
      <c r="O2" t="s">
        <v>83</v>
      </c>
      <c r="P2" t="s">
        <v>84</v>
      </c>
      <c r="Q2" t="s">
        <v>85</v>
      </c>
      <c r="R2" t="s">
        <v>86</v>
      </c>
      <c r="S2" t="s">
        <v>87</v>
      </c>
      <c r="T2" t="s">
        <v>88</v>
      </c>
      <c r="U2" t="s">
        <v>89</v>
      </c>
      <c r="V2" t="s">
        <v>105</v>
      </c>
    </row>
    <row r="3" spans="2:22" x14ac:dyDescent="0.25">
      <c r="B3" s="6" t="s">
        <v>0</v>
      </c>
      <c r="D3" s="6" t="s">
        <v>0</v>
      </c>
      <c r="E3" s="7"/>
      <c r="F3" s="6" t="s">
        <v>0</v>
      </c>
      <c r="G3" s="6" t="s">
        <v>0</v>
      </c>
      <c r="H3" s="6" t="s">
        <v>0</v>
      </c>
      <c r="N3" s="102" t="s">
        <v>95</v>
      </c>
      <c r="O3" s="102" t="s">
        <v>96</v>
      </c>
      <c r="P3" s="102" t="s">
        <v>97</v>
      </c>
      <c r="Q3" s="102" t="s">
        <v>90</v>
      </c>
      <c r="R3" s="102" t="s">
        <v>98</v>
      </c>
      <c r="S3" s="102" t="s">
        <v>91</v>
      </c>
      <c r="T3" s="102" t="s">
        <v>92</v>
      </c>
      <c r="U3" s="102" t="s">
        <v>93</v>
      </c>
      <c r="V3" s="102" t="s">
        <v>106</v>
      </c>
    </row>
    <row r="4" spans="2:22" x14ac:dyDescent="0.25">
      <c r="B4" s="1" t="s">
        <v>42</v>
      </c>
      <c r="D4" s="1" t="s">
        <v>16</v>
      </c>
      <c r="F4" s="1"/>
      <c r="G4" s="19"/>
      <c r="H4" s="19"/>
      <c r="I4" s="19"/>
      <c r="J4" s="21"/>
      <c r="N4" s="102"/>
      <c r="O4" s="102"/>
      <c r="P4" s="102"/>
      <c r="Q4" s="102"/>
      <c r="R4" s="102"/>
      <c r="S4" s="102"/>
      <c r="T4" s="102"/>
      <c r="U4" s="102"/>
      <c r="V4" s="102"/>
    </row>
    <row r="5" spans="2:22" x14ac:dyDescent="0.25">
      <c r="B5" s="1" t="s">
        <v>43</v>
      </c>
      <c r="D5" s="9" t="s">
        <v>17</v>
      </c>
      <c r="F5" s="1"/>
      <c r="G5" s="9"/>
      <c r="H5" s="9"/>
      <c r="N5" s="102"/>
      <c r="O5" s="102"/>
      <c r="P5" s="102"/>
      <c r="Q5" s="102"/>
      <c r="R5" s="102"/>
      <c r="S5" s="102"/>
      <c r="T5" s="102"/>
      <c r="U5" s="102"/>
      <c r="V5" s="102"/>
    </row>
    <row r="6" spans="2:22" x14ac:dyDescent="0.25">
      <c r="B6" s="1" t="s">
        <v>44</v>
      </c>
      <c r="D6" s="9" t="s">
        <v>53</v>
      </c>
      <c r="F6" s="1"/>
      <c r="G6" s="9"/>
      <c r="H6" s="9"/>
      <c r="N6" s="102"/>
      <c r="O6" s="102"/>
      <c r="P6" s="102"/>
      <c r="Q6" s="102"/>
      <c r="R6" s="102"/>
      <c r="S6" s="102"/>
      <c r="T6" s="102"/>
      <c r="U6" s="102"/>
      <c r="V6" s="102"/>
    </row>
    <row r="7" spans="2:22" x14ac:dyDescent="0.25">
      <c r="B7" s="1" t="s">
        <v>45</v>
      </c>
      <c r="D7" s="9" t="s">
        <v>51</v>
      </c>
      <c r="F7" s="1"/>
      <c r="G7" s="9"/>
      <c r="H7" s="9"/>
      <c r="N7" s="102"/>
      <c r="O7" s="102"/>
      <c r="P7" s="102"/>
      <c r="Q7" s="102"/>
      <c r="R7" s="102"/>
      <c r="S7" s="102"/>
      <c r="T7" s="102"/>
      <c r="U7" s="102"/>
      <c r="V7" s="102"/>
    </row>
    <row r="8" spans="2:22" x14ac:dyDescent="0.25">
      <c r="B8" s="1" t="s">
        <v>46</v>
      </c>
      <c r="D8" s="1" t="s">
        <v>14</v>
      </c>
      <c r="F8" s="1"/>
      <c r="G8" s="9"/>
      <c r="H8" s="9"/>
      <c r="N8" s="102"/>
      <c r="O8" s="102"/>
      <c r="P8" s="102"/>
      <c r="Q8" s="102"/>
      <c r="R8" s="102"/>
      <c r="S8" s="102"/>
      <c r="T8" s="102"/>
      <c r="U8" s="102"/>
      <c r="V8" s="102"/>
    </row>
    <row r="9" spans="2:22" x14ac:dyDescent="0.25">
      <c r="B9" s="1" t="s">
        <v>47</v>
      </c>
      <c r="D9" s="1" t="s">
        <v>15</v>
      </c>
      <c r="F9" s="1"/>
      <c r="G9" s="9"/>
      <c r="H9" s="9"/>
      <c r="N9" s="102"/>
      <c r="O9" s="102"/>
      <c r="P9" s="102"/>
      <c r="Q9" s="102"/>
      <c r="R9" s="102"/>
      <c r="S9" s="102"/>
      <c r="T9" s="102"/>
      <c r="U9" s="102"/>
      <c r="V9" s="102"/>
    </row>
    <row r="10" spans="2:22" x14ac:dyDescent="0.25">
      <c r="B10" s="1" t="s">
        <v>48</v>
      </c>
      <c r="D10" s="1" t="s">
        <v>59</v>
      </c>
      <c r="F10" s="1"/>
      <c r="G10" s="9"/>
      <c r="H10" s="9"/>
      <c r="N10" s="102"/>
      <c r="O10" s="102"/>
      <c r="P10" s="102"/>
      <c r="Q10" s="102"/>
      <c r="R10" s="102"/>
      <c r="S10" s="102"/>
      <c r="T10" s="102"/>
      <c r="U10" s="102"/>
      <c r="V10" s="102"/>
    </row>
    <row r="11" spans="2:22" x14ac:dyDescent="0.25">
      <c r="B11" s="1" t="s">
        <v>20</v>
      </c>
      <c r="D11" s="9" t="s">
        <v>52</v>
      </c>
      <c r="F11" s="1"/>
      <c r="G11" s="9"/>
      <c r="H11" s="9"/>
      <c r="N11" s="102"/>
      <c r="O11" s="102"/>
      <c r="P11" s="102"/>
      <c r="Q11" s="102"/>
      <c r="R11" s="102"/>
      <c r="S11" s="102"/>
      <c r="T11" s="102"/>
      <c r="U11" s="102"/>
      <c r="V11" s="102"/>
    </row>
    <row r="12" spans="2:22" x14ac:dyDescent="0.25">
      <c r="B12" s="1" t="s">
        <v>49</v>
      </c>
      <c r="D12" s="9" t="s">
        <v>13</v>
      </c>
      <c r="F12" t="str">
        <f>IF(INPUT!B125="O E-MAIL FOI VALIDADO",INPUT!X124,"teste@teste.com.br")</f>
        <v>teste@teste.com.br</v>
      </c>
      <c r="G12" s="21" t="s">
        <v>148</v>
      </c>
      <c r="H12" s="73"/>
      <c r="I12" s="21"/>
      <c r="K12" s="11" t="str">
        <f>CONCATENATE(F12,"; ",G12)</f>
        <v>teste@teste.com.br; marketplace@futfanatics.com.br</v>
      </c>
      <c r="N12" s="102"/>
      <c r="O12" s="102"/>
      <c r="P12" s="102"/>
      <c r="Q12" s="102"/>
      <c r="R12" s="102"/>
      <c r="S12" s="102"/>
      <c r="T12" s="102"/>
      <c r="U12" s="102"/>
      <c r="V12" s="102"/>
    </row>
    <row r="13" spans="2:22" x14ac:dyDescent="0.25">
      <c r="B13" s="1" t="s">
        <v>50</v>
      </c>
      <c r="D13" s="9"/>
      <c r="G13" s="72"/>
      <c r="H13" s="72"/>
    </row>
    <row r="14" spans="2:22" x14ac:dyDescent="0.25">
      <c r="B14" s="1"/>
      <c r="G14" s="72"/>
      <c r="H14" s="72"/>
    </row>
    <row r="15" spans="2:22" x14ac:dyDescent="0.25">
      <c r="B15" s="1"/>
      <c r="G15" s="74"/>
      <c r="H15" s="72"/>
    </row>
    <row r="16" spans="2:22" x14ac:dyDescent="0.25">
      <c r="B16" s="1"/>
      <c r="G16" s="74"/>
      <c r="H16" s="72"/>
    </row>
    <row r="17" spans="1:8" x14ac:dyDescent="0.25">
      <c r="A17" s="59"/>
      <c r="B17" s="1"/>
      <c r="C17" s="58"/>
      <c r="D17" s="58"/>
      <c r="E17" s="58"/>
      <c r="G17" s="74"/>
      <c r="H17" s="72"/>
    </row>
    <row r="18" spans="1:8" x14ac:dyDescent="0.25">
      <c r="A18" s="59"/>
      <c r="B18" s="1"/>
      <c r="C18" s="58"/>
      <c r="D18" s="58"/>
      <c r="E18" s="58"/>
      <c r="G18" s="74"/>
      <c r="H18" s="72"/>
    </row>
    <row r="19" spans="1:8" x14ac:dyDescent="0.25">
      <c r="A19" s="59"/>
      <c r="B19" s="58"/>
      <c r="C19" s="58"/>
      <c r="D19" s="58"/>
      <c r="E19" s="58"/>
      <c r="G19" s="72"/>
      <c r="H19" s="72"/>
    </row>
    <row r="20" spans="1:8" x14ac:dyDescent="0.25">
      <c r="A20" s="59"/>
      <c r="B20" s="58"/>
      <c r="C20" s="58"/>
      <c r="D20" s="58"/>
      <c r="E20" s="58"/>
    </row>
    <row r="21" spans="1:8" x14ac:dyDescent="0.25">
      <c r="A21" s="59"/>
      <c r="B21" s="58"/>
      <c r="C21" s="58"/>
      <c r="D21" s="58"/>
      <c r="E21" s="58"/>
    </row>
    <row r="22" spans="1:8" x14ac:dyDescent="0.25">
      <c r="A22" s="59"/>
      <c r="B22" s="58"/>
      <c r="C22" s="58"/>
      <c r="D22" s="58"/>
      <c r="E22" s="58"/>
    </row>
    <row r="27" spans="1:8" x14ac:dyDescent="0.25">
      <c r="B27" s="5" t="s">
        <v>11</v>
      </c>
      <c r="D27" s="5"/>
    </row>
    <row r="28" spans="1:8" x14ac:dyDescent="0.25">
      <c r="B28" s="6" t="s">
        <v>0</v>
      </c>
      <c r="D28" s="6"/>
    </row>
    <row r="29" spans="1:8" x14ac:dyDescent="0.25">
      <c r="B29" s="1" t="s">
        <v>40</v>
      </c>
      <c r="D29" s="1"/>
    </row>
    <row r="30" spans="1:8" x14ac:dyDescent="0.25">
      <c r="B30" s="1" t="s">
        <v>54</v>
      </c>
      <c r="D30" s="9"/>
    </row>
    <row r="31" spans="1:8" x14ac:dyDescent="0.25">
      <c r="B31" s="1" t="s">
        <v>55</v>
      </c>
      <c r="D31" s="9"/>
    </row>
    <row r="32" spans="1:8" x14ac:dyDescent="0.25">
      <c r="B32" s="1" t="s">
        <v>56</v>
      </c>
      <c r="D32" s="1"/>
    </row>
    <row r="33" spans="2:4" x14ac:dyDescent="0.25">
      <c r="B33" s="1" t="s">
        <v>57</v>
      </c>
      <c r="D33" s="9"/>
    </row>
    <row r="34" spans="2:4" x14ac:dyDescent="0.25">
      <c r="B34" s="1" t="s">
        <v>58</v>
      </c>
      <c r="D34" s="1"/>
    </row>
    <row r="35" spans="2:4" x14ac:dyDescent="0.25">
      <c r="B35" s="1"/>
      <c r="D35" s="1"/>
    </row>
    <row r="36" spans="2:4" x14ac:dyDescent="0.25">
      <c r="D36" s="9"/>
    </row>
    <row r="37" spans="2:4" x14ac:dyDescent="0.25">
      <c r="D37" s="9"/>
    </row>
    <row r="38" spans="2:4" x14ac:dyDescent="0.25">
      <c r="D38" s="9"/>
    </row>
    <row r="39" spans="2:4" x14ac:dyDescent="0.25">
      <c r="D39" s="9"/>
    </row>
    <row r="40" spans="2:4" x14ac:dyDescent="0.25">
      <c r="D40" s="9"/>
    </row>
  </sheetData>
  <sortState xmlns:xlrd2="http://schemas.microsoft.com/office/spreadsheetml/2017/richdata2" ref="D29:D40">
    <sortCondition ref="D40"/>
  </sortState>
  <mergeCells count="9">
    <mergeCell ref="V3:V12"/>
    <mergeCell ref="T3:T12"/>
    <mergeCell ref="U3:U12"/>
    <mergeCell ref="N3:N12"/>
    <mergeCell ref="O3:O12"/>
    <mergeCell ref="P3:P12"/>
    <mergeCell ref="Q3:Q12"/>
    <mergeCell ref="R3:R12"/>
    <mergeCell ref="S3:S12"/>
  </mergeCells>
  <hyperlinks>
    <hyperlink ref="I1" r:id="rId1" display="tayane.carvalho@futcorp.com.br" xr:uid="{967DE36E-AB09-4EF0-AEF9-96957A39838A}"/>
  </hyperlinks>
  <pageMargins left="0.511811024" right="0.511811024" top="0.78740157499999996" bottom="0.78740157499999996" header="0.31496062000000002" footer="0.31496062000000002"/>
  <pageSetup paperSize="9" orientation="portrait" horizontalDpi="4294967295" verticalDpi="4294967295"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tabColor theme="0"/>
  </sheetPr>
  <dimension ref="B2:DB128"/>
  <sheetViews>
    <sheetView showGridLines="0" tabSelected="1" topLeftCell="A58" zoomScaleNormal="100" workbookViewId="0">
      <pane xSplit="73" ySplit="1" topLeftCell="BV59" activePane="bottomRight" state="frozen"/>
      <selection activeCell="A58" sqref="A58"/>
      <selection pane="topRight" activeCell="BV58" sqref="BV58"/>
      <selection pane="bottomLeft" activeCell="A59" sqref="A59"/>
      <selection pane="bottomRight" activeCell="X124" sqref="X124:BF124"/>
    </sheetView>
  </sheetViews>
  <sheetFormatPr defaultColWidth="9.140625" defaultRowHeight="15" x14ac:dyDescent="0.25"/>
  <cols>
    <col min="1" max="1" width="2.28515625" style="12" customWidth="1"/>
    <col min="2" max="28" width="1.7109375" style="13" customWidth="1"/>
    <col min="29" max="37" width="1.85546875" style="13" customWidth="1"/>
    <col min="38" max="54" width="1.7109375" style="13" customWidth="1"/>
    <col min="55" max="55" width="5.28515625" style="13" customWidth="1"/>
    <col min="56" max="57" width="1.7109375" style="13" customWidth="1"/>
    <col min="58" max="58" width="2" style="12" customWidth="1"/>
    <col min="59" max="68" width="5.5703125" style="12" customWidth="1"/>
    <col min="69" max="71" width="9.140625" style="12" customWidth="1"/>
    <col min="72" max="72" width="8.5703125" style="12" customWidth="1"/>
    <col min="73" max="73" width="8" style="12" customWidth="1"/>
    <col min="74" max="82" width="9.140625" style="12" customWidth="1"/>
    <col min="83" max="83" width="9.140625" style="12"/>
    <col min="84" max="84" width="30.7109375" style="12" bestFit="1" customWidth="1"/>
    <col min="85" max="85" width="18.140625" style="12" bestFit="1" customWidth="1"/>
    <col min="86" max="86" width="10.7109375" style="12" bestFit="1" customWidth="1"/>
    <col min="87" max="87" width="11.7109375" style="12" bestFit="1" customWidth="1"/>
    <col min="88" max="88" width="22.140625" style="12" bestFit="1" customWidth="1"/>
    <col min="89" max="89" width="29.85546875" style="12" bestFit="1" customWidth="1"/>
    <col min="90" max="91" width="10.7109375" style="12" bestFit="1" customWidth="1"/>
    <col min="92" max="92" width="9.140625" style="12"/>
    <col min="93" max="93" width="10.7109375" style="12" bestFit="1" customWidth="1"/>
    <col min="94" max="104" width="9.140625" style="12"/>
    <col min="105" max="105" width="11.5703125" style="12" bestFit="1" customWidth="1"/>
    <col min="106" max="16384" width="9.140625" style="12"/>
  </cols>
  <sheetData>
    <row r="2" spans="2:89" ht="15" customHeight="1" x14ac:dyDescent="0.25">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83"/>
      <c r="BF2" s="152">
        <f ca="1">NOW()</f>
        <v>43994.534574768521</v>
      </c>
    </row>
    <row r="3" spans="2:89" x14ac:dyDescent="0.25">
      <c r="B3" s="19"/>
      <c r="C3" s="76"/>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77"/>
      <c r="AI3" s="77"/>
      <c r="AJ3" s="77"/>
      <c r="AK3" s="77"/>
      <c r="AL3" s="77"/>
      <c r="AM3" s="77"/>
      <c r="AN3" s="77"/>
      <c r="AO3" s="77"/>
      <c r="AP3" s="77"/>
      <c r="AQ3" s="77"/>
      <c r="AR3" s="77"/>
      <c r="AS3" s="77"/>
      <c r="AT3" s="77"/>
      <c r="AU3" s="77"/>
      <c r="AV3" s="77"/>
      <c r="AW3" s="77"/>
      <c r="AX3" s="77"/>
      <c r="AY3" s="77"/>
      <c r="AZ3" s="77"/>
      <c r="BA3" s="77"/>
      <c r="BB3" s="77"/>
      <c r="BC3" s="77"/>
      <c r="BD3" s="77"/>
      <c r="BE3" s="84"/>
      <c r="BF3" s="152"/>
    </row>
    <row r="4" spans="2:89" x14ac:dyDescent="0.25">
      <c r="B4" s="19"/>
      <c r="C4" s="78"/>
      <c r="D4" s="79"/>
      <c r="E4" s="79"/>
      <c r="F4" s="79"/>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85"/>
      <c r="BF4" s="152"/>
    </row>
    <row r="5" spans="2:89" x14ac:dyDescent="0.25">
      <c r="B5" s="19"/>
      <c r="C5" s="78"/>
      <c r="D5" s="79"/>
      <c r="E5" s="79"/>
      <c r="F5" s="79"/>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85"/>
      <c r="BF5" s="152"/>
    </row>
    <row r="6" spans="2:89" x14ac:dyDescent="0.25">
      <c r="B6" s="19"/>
      <c r="C6" s="78"/>
      <c r="D6" s="79"/>
      <c r="E6" s="79"/>
      <c r="F6" s="79"/>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85"/>
      <c r="BF6" s="152"/>
      <c r="CF6" s="21" t="s">
        <v>79</v>
      </c>
      <c r="CG6" s="82">
        <f>AR71</f>
        <v>0</v>
      </c>
      <c r="CH6" s="21" t="s">
        <v>100</v>
      </c>
      <c r="CI6" s="21"/>
      <c r="CJ6" s="21"/>
      <c r="CK6" s="21"/>
    </row>
    <row r="7" spans="2:89" x14ac:dyDescent="0.25">
      <c r="B7" s="19"/>
      <c r="C7" s="78"/>
      <c r="D7" s="79"/>
      <c r="E7" s="79"/>
      <c r="F7" s="79"/>
      <c r="G7" s="79"/>
      <c r="H7" s="79"/>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c r="AN7" s="79"/>
      <c r="AO7" s="79"/>
      <c r="AP7" s="79"/>
      <c r="AQ7" s="79"/>
      <c r="AR7" s="79"/>
      <c r="AS7" s="79"/>
      <c r="AT7" s="79"/>
      <c r="AU7" s="79"/>
      <c r="AV7" s="79"/>
      <c r="AW7" s="79"/>
      <c r="AX7" s="79"/>
      <c r="AY7" s="79"/>
      <c r="AZ7" s="79"/>
      <c r="BA7" s="79"/>
      <c r="BB7" s="79"/>
      <c r="BC7" s="79"/>
      <c r="BD7" s="79"/>
      <c r="BE7" s="85"/>
      <c r="BF7" s="152"/>
      <c r="CF7" s="21"/>
      <c r="CG7" s="21"/>
      <c r="CH7" s="21"/>
      <c r="CI7" s="21"/>
      <c r="CJ7" s="21"/>
      <c r="CK7" s="21"/>
    </row>
    <row r="8" spans="2:89" ht="15.75" x14ac:dyDescent="0.25">
      <c r="B8" s="19"/>
      <c r="C8" s="78"/>
      <c r="D8" s="79"/>
      <c r="E8" s="79"/>
      <c r="F8" s="79"/>
      <c r="G8" s="79"/>
      <c r="H8" s="79"/>
      <c r="I8" s="79"/>
      <c r="J8" s="79"/>
      <c r="K8" s="79"/>
      <c r="L8" s="79"/>
      <c r="M8" s="79"/>
      <c r="N8" s="79"/>
      <c r="O8" s="79"/>
      <c r="P8" s="79"/>
      <c r="Q8" s="79"/>
      <c r="R8" s="79"/>
      <c r="S8" s="79"/>
      <c r="T8" s="79"/>
      <c r="U8" s="79"/>
      <c r="V8" s="79"/>
      <c r="W8" s="79"/>
      <c r="X8" s="79"/>
      <c r="Y8" s="79"/>
      <c r="Z8" s="79"/>
      <c r="AA8" s="79"/>
      <c r="AB8" s="79"/>
      <c r="AC8" s="79"/>
      <c r="AD8" s="79"/>
      <c r="AE8" s="79"/>
      <c r="AF8" s="79"/>
      <c r="AG8" s="79"/>
      <c r="AH8" s="79"/>
      <c r="AI8" s="79"/>
      <c r="AJ8" s="79"/>
      <c r="AK8" s="79"/>
      <c r="AL8" s="79"/>
      <c r="AM8" s="79"/>
      <c r="AN8" s="79"/>
      <c r="AO8" s="79"/>
      <c r="AP8" s="79"/>
      <c r="AQ8" s="79"/>
      <c r="AR8" s="79"/>
      <c r="AS8" s="79"/>
      <c r="AT8" s="79"/>
      <c r="AU8" s="79"/>
      <c r="AV8" s="79"/>
      <c r="AW8" s="79"/>
      <c r="AX8" s="79"/>
      <c r="AY8" s="79"/>
      <c r="AZ8" s="79"/>
      <c r="BA8" s="79"/>
      <c r="BB8" s="79"/>
      <c r="BC8" s="79"/>
      <c r="BD8" s="79"/>
      <c r="BE8" s="85"/>
      <c r="BF8" s="152"/>
      <c r="CF8" s="88" t="s">
        <v>101</v>
      </c>
      <c r="CG8" s="21"/>
      <c r="CH8" s="21"/>
      <c r="CI8" s="21"/>
      <c r="CJ8" s="21"/>
      <c r="CK8" s="21"/>
    </row>
    <row r="9" spans="2:89" x14ac:dyDescent="0.25">
      <c r="B9" s="19"/>
      <c r="C9" s="78"/>
      <c r="D9" s="79"/>
      <c r="E9" s="79"/>
      <c r="F9" s="79"/>
      <c r="G9" s="79"/>
      <c r="H9" s="79"/>
      <c r="I9" s="79"/>
      <c r="J9" s="79"/>
      <c r="K9" s="79"/>
      <c r="L9" s="79"/>
      <c r="M9" s="79"/>
      <c r="N9" s="79"/>
      <c r="O9" s="79"/>
      <c r="P9" s="79"/>
      <c r="Q9" s="79"/>
      <c r="R9" s="79"/>
      <c r="S9" s="79"/>
      <c r="T9" s="79"/>
      <c r="U9" s="79"/>
      <c r="V9" s="79"/>
      <c r="W9" s="79"/>
      <c r="X9" s="79"/>
      <c r="Y9" s="79"/>
      <c r="Z9" s="79"/>
      <c r="AA9" s="79"/>
      <c r="AB9" s="79"/>
      <c r="AC9" s="79"/>
      <c r="AD9" s="79"/>
      <c r="AE9" s="79"/>
      <c r="AF9" s="79"/>
      <c r="AG9" s="79"/>
      <c r="AH9" s="79"/>
      <c r="AI9" s="79"/>
      <c r="AJ9" s="79"/>
      <c r="AK9" s="79"/>
      <c r="AL9" s="79"/>
      <c r="AM9" s="79"/>
      <c r="AN9" s="79"/>
      <c r="AO9" s="79"/>
      <c r="AP9" s="79"/>
      <c r="AQ9" s="79"/>
      <c r="AR9" s="79"/>
      <c r="AS9" s="79"/>
      <c r="AT9" s="79"/>
      <c r="AU9" s="79"/>
      <c r="AV9" s="79"/>
      <c r="AW9" s="79"/>
      <c r="AX9" s="79"/>
      <c r="AY9" s="79"/>
      <c r="AZ9" s="79"/>
      <c r="BA9" s="79"/>
      <c r="BB9" s="79"/>
      <c r="BC9" s="79"/>
      <c r="BD9" s="79"/>
      <c r="BE9" s="85"/>
      <c r="BF9" s="152"/>
      <c r="CF9" s="21"/>
      <c r="CG9" s="21"/>
      <c r="CH9" s="21"/>
      <c r="CI9" s="21"/>
      <c r="CJ9" s="21"/>
      <c r="CK9" s="21"/>
    </row>
    <row r="10" spans="2:89" ht="15.75" x14ac:dyDescent="0.25">
      <c r="B10" s="19"/>
      <c r="C10" s="155" t="s">
        <v>77</v>
      </c>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6"/>
      <c r="AC10" s="156"/>
      <c r="AD10" s="156"/>
      <c r="AE10" s="156"/>
      <c r="AF10" s="156"/>
      <c r="AG10" s="156"/>
      <c r="AH10" s="156"/>
      <c r="AI10" s="156"/>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7"/>
      <c r="BF10" s="152"/>
      <c r="CF10" s="88" t="s">
        <v>102</v>
      </c>
      <c r="CG10" s="89">
        <f>AL68</f>
        <v>0</v>
      </c>
      <c r="CH10" s="88" t="s">
        <v>80</v>
      </c>
      <c r="CI10" s="89">
        <f>B68</f>
        <v>0</v>
      </c>
      <c r="CJ10" s="88" t="s">
        <v>103</v>
      </c>
      <c r="CK10" s="21"/>
    </row>
    <row r="11" spans="2:89" x14ac:dyDescent="0.25">
      <c r="B11" s="19"/>
      <c r="C11" s="78"/>
      <c r="D11" s="79"/>
      <c r="E11" s="79"/>
      <c r="F11" s="79"/>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c r="AT11" s="79"/>
      <c r="AU11" s="79"/>
      <c r="AV11" s="79"/>
      <c r="AW11" s="79"/>
      <c r="AX11" s="79"/>
      <c r="AY11" s="79"/>
      <c r="AZ11" s="79"/>
      <c r="BA11" s="79"/>
      <c r="BB11" s="79"/>
      <c r="BC11" s="79"/>
      <c r="BD11" s="79"/>
      <c r="BE11" s="85"/>
      <c r="BF11" s="152"/>
      <c r="CF11" s="21"/>
      <c r="CG11" s="21"/>
      <c r="CH11" s="21"/>
      <c r="CI11" s="21"/>
      <c r="CJ11" s="21"/>
      <c r="CK11" s="21"/>
    </row>
    <row r="12" spans="2:89" ht="15.75" x14ac:dyDescent="0.25">
      <c r="B12" s="19"/>
      <c r="C12" s="78"/>
      <c r="D12" s="79"/>
      <c r="E12" s="79"/>
      <c r="F12" s="79"/>
      <c r="G12" s="79"/>
      <c r="H12" s="79"/>
      <c r="I12" s="79"/>
      <c r="J12" s="79"/>
      <c r="K12" s="79"/>
      <c r="L12" s="79"/>
      <c r="M12" s="79"/>
      <c r="N12" s="79"/>
      <c r="O12" s="79"/>
      <c r="P12" s="79"/>
      <c r="Q12" s="79"/>
      <c r="R12" s="79"/>
      <c r="S12" s="79"/>
      <c r="T12" s="79"/>
      <c r="U12" s="79"/>
      <c r="V12" s="79"/>
      <c r="W12" s="79"/>
      <c r="X12" s="79"/>
      <c r="Y12" s="79"/>
      <c r="Z12" s="79"/>
      <c r="AA12" s="79"/>
      <c r="AB12" s="79"/>
      <c r="AC12" s="79"/>
      <c r="AD12" s="79"/>
      <c r="AE12" s="79"/>
      <c r="AF12" s="79"/>
      <c r="AG12" s="79"/>
      <c r="AH12" s="79"/>
      <c r="AI12" s="79"/>
      <c r="AJ12" s="79"/>
      <c r="AK12" s="79"/>
      <c r="AL12" s="79"/>
      <c r="AM12" s="79"/>
      <c r="AN12" s="79"/>
      <c r="AO12" s="79"/>
      <c r="AP12" s="79"/>
      <c r="AQ12" s="79"/>
      <c r="AR12" s="79"/>
      <c r="AS12" s="79"/>
      <c r="AT12" s="79"/>
      <c r="AU12" s="79"/>
      <c r="AV12" s="79"/>
      <c r="AW12" s="79"/>
      <c r="AX12" s="79"/>
      <c r="AY12" s="79"/>
      <c r="AZ12" s="79"/>
      <c r="BA12" s="79"/>
      <c r="BB12" s="79"/>
      <c r="BC12" s="79"/>
      <c r="BD12" s="79"/>
      <c r="BE12" s="85"/>
      <c r="BF12" s="152"/>
      <c r="CF12" s="88" t="s">
        <v>104</v>
      </c>
      <c r="CG12" s="21"/>
      <c r="CH12" s="21"/>
      <c r="CI12" s="21"/>
      <c r="CJ12" s="21"/>
      <c r="CK12" s="21"/>
    </row>
    <row r="13" spans="2:89" x14ac:dyDescent="0.25">
      <c r="B13" s="19"/>
      <c r="C13" s="78"/>
      <c r="D13" s="79"/>
      <c r="E13" s="79"/>
      <c r="F13" s="79"/>
      <c r="G13" s="79"/>
      <c r="H13" s="154" t="str">
        <f>CONCATENATE(CF6,CG6,CH6)</f>
        <v xml:space="preserve">          Prezado(a), 0 somos imensamente gratos pela sua confiança. Buscamos incansavelmente surpreendê-lo em toda sua experiência de compra conosco, desde o momento em que acessa a nossa loja, efetua a compra e principalmente no pós-venda. </v>
      </c>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c r="BA13" s="154"/>
      <c r="BB13" s="154"/>
      <c r="BC13" s="154"/>
      <c r="BD13" s="79"/>
      <c r="BE13" s="85"/>
      <c r="BF13" s="152"/>
      <c r="CF13" s="21"/>
      <c r="CG13" s="21"/>
      <c r="CH13" s="21"/>
      <c r="CI13" s="21"/>
      <c r="CJ13" s="21"/>
      <c r="CK13" s="21"/>
    </row>
    <row r="14" spans="2:89" x14ac:dyDescent="0.25">
      <c r="B14" s="19"/>
      <c r="C14" s="78"/>
      <c r="D14" s="79"/>
      <c r="E14" s="79"/>
      <c r="F14" s="79"/>
      <c r="G14" s="79"/>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c r="BA14" s="154"/>
      <c r="BB14" s="154"/>
      <c r="BC14" s="154"/>
      <c r="BD14" s="79"/>
      <c r="BE14" s="85"/>
      <c r="BF14" s="152"/>
      <c r="CF14" s="21"/>
      <c r="CG14" s="21"/>
      <c r="CH14" s="21"/>
      <c r="CI14" s="21"/>
      <c r="CJ14" s="21"/>
      <c r="CK14" s="21"/>
    </row>
    <row r="15" spans="2:89" ht="15.75" x14ac:dyDescent="0.25">
      <c r="B15" s="19"/>
      <c r="C15" s="78"/>
      <c r="D15" s="79"/>
      <c r="E15" s="79"/>
      <c r="F15" s="79"/>
      <c r="G15" s="79"/>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c r="BA15" s="154"/>
      <c r="BB15" s="154"/>
      <c r="BC15" s="154"/>
      <c r="BD15" s="79"/>
      <c r="BE15" s="85"/>
      <c r="BF15" s="152"/>
      <c r="CF15" s="88" t="s">
        <v>76</v>
      </c>
      <c r="CG15" s="21"/>
      <c r="CH15" s="21"/>
      <c r="CI15" s="21"/>
      <c r="CJ15" s="21"/>
      <c r="CK15" s="21"/>
    </row>
    <row r="16" spans="2:89" x14ac:dyDescent="0.25">
      <c r="B16" s="19"/>
      <c r="C16" s="78"/>
      <c r="D16" s="79"/>
      <c r="E16" s="79"/>
      <c r="F16" s="79"/>
      <c r="G16" s="79"/>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54"/>
      <c r="AO16" s="154"/>
      <c r="AP16" s="154"/>
      <c r="AQ16" s="154"/>
      <c r="AR16" s="154"/>
      <c r="AS16" s="154"/>
      <c r="AT16" s="154"/>
      <c r="AU16" s="154"/>
      <c r="AV16" s="154"/>
      <c r="AW16" s="154"/>
      <c r="AX16" s="154"/>
      <c r="AY16" s="154"/>
      <c r="AZ16" s="154"/>
      <c r="BA16" s="154"/>
      <c r="BB16" s="154"/>
      <c r="BC16" s="154"/>
      <c r="BD16" s="79"/>
      <c r="BE16" s="85"/>
      <c r="BF16" s="152"/>
      <c r="CF16" s="90" t="s">
        <v>75</v>
      </c>
      <c r="CG16" s="21"/>
      <c r="CH16" s="21"/>
      <c r="CI16" s="21"/>
      <c r="CJ16" s="21"/>
      <c r="CK16" s="21"/>
    </row>
    <row r="17" spans="2:89" x14ac:dyDescent="0.25">
      <c r="B17" s="19"/>
      <c r="C17" s="78"/>
      <c r="D17" s="79"/>
      <c r="E17" s="79"/>
      <c r="F17" s="79"/>
      <c r="G17" s="79"/>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54"/>
      <c r="AO17" s="154"/>
      <c r="AP17" s="154"/>
      <c r="AQ17" s="154"/>
      <c r="AR17" s="154"/>
      <c r="AS17" s="154"/>
      <c r="AT17" s="154"/>
      <c r="AU17" s="154"/>
      <c r="AV17" s="154"/>
      <c r="AW17" s="154"/>
      <c r="AX17" s="154"/>
      <c r="AY17" s="154"/>
      <c r="AZ17" s="154"/>
      <c r="BA17" s="154"/>
      <c r="BB17" s="154"/>
      <c r="BC17" s="154"/>
      <c r="BD17" s="79"/>
      <c r="BE17" s="85"/>
      <c r="BF17" s="152"/>
      <c r="CF17" s="21"/>
      <c r="CG17" s="21"/>
      <c r="CH17" s="21"/>
      <c r="CI17" s="21"/>
      <c r="CJ17" s="21"/>
      <c r="CK17" s="21"/>
    </row>
    <row r="18" spans="2:89" x14ac:dyDescent="0.25">
      <c r="B18" s="19"/>
      <c r="C18" s="78"/>
      <c r="D18" s="79"/>
      <c r="E18" s="79"/>
      <c r="F18" s="79"/>
      <c r="G18" s="79"/>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c r="BC18" s="154"/>
      <c r="BD18" s="79"/>
      <c r="BE18" s="85"/>
      <c r="BF18" s="152"/>
      <c r="CF18" s="92">
        <f ca="1">TODAY()</f>
        <v>43994</v>
      </c>
      <c r="CG18" s="21"/>
      <c r="CH18" s="21"/>
      <c r="CI18" s="21"/>
      <c r="CJ18" s="21"/>
      <c r="CK18" s="21"/>
    </row>
    <row r="19" spans="2:89" ht="15.75" customHeight="1" x14ac:dyDescent="0.25">
      <c r="B19" s="19"/>
      <c r="C19" s="78"/>
      <c r="D19" s="79"/>
      <c r="E19" s="79"/>
      <c r="F19" s="79"/>
      <c r="G19" s="79"/>
      <c r="H19" s="154" t="str">
        <f>CONCATENATE(CF8)</f>
        <v xml:space="preserve">          No entanto, não podemos fugir às nossas regras e políticas definidas no site, estas em alinhamento com o Código de Defesa do Consumidor que garantem a praticidade nas devoluções e a maior equidade possível no tratamento com todos os nossos clientes.</v>
      </c>
      <c r="I19" s="154"/>
      <c r="J19" s="154"/>
      <c r="K19" s="154"/>
      <c r="L19" s="154"/>
      <c r="M19" s="154"/>
      <c r="N19" s="154"/>
      <c r="O19" s="154"/>
      <c r="P19" s="154"/>
      <c r="Q19" s="154"/>
      <c r="R19" s="154"/>
      <c r="S19" s="154"/>
      <c r="T19" s="154"/>
      <c r="U19" s="154"/>
      <c r="V19" s="154"/>
      <c r="W19" s="154"/>
      <c r="X19" s="154"/>
      <c r="Y19" s="154"/>
      <c r="Z19" s="154"/>
      <c r="AA19" s="154"/>
      <c r="AB19" s="154"/>
      <c r="AC19" s="154"/>
      <c r="AD19" s="154"/>
      <c r="AE19" s="154"/>
      <c r="AF19" s="154"/>
      <c r="AG19" s="154"/>
      <c r="AH19" s="154"/>
      <c r="AI19" s="154"/>
      <c r="AJ19" s="154"/>
      <c r="AK19" s="154"/>
      <c r="AL19" s="154"/>
      <c r="AM19" s="154"/>
      <c r="AN19" s="154"/>
      <c r="AO19" s="154"/>
      <c r="AP19" s="154"/>
      <c r="AQ19" s="154"/>
      <c r="AR19" s="154"/>
      <c r="AS19" s="154"/>
      <c r="AT19" s="154"/>
      <c r="AU19" s="154"/>
      <c r="AV19" s="154"/>
      <c r="AW19" s="154"/>
      <c r="AX19" s="154"/>
      <c r="AY19" s="154"/>
      <c r="AZ19" s="154"/>
      <c r="BA19" s="154"/>
      <c r="BB19" s="154"/>
      <c r="BC19" s="154"/>
      <c r="BD19" s="79"/>
      <c r="BE19" s="85"/>
      <c r="BF19" s="152"/>
      <c r="CF19" s="21"/>
      <c r="CG19" s="21"/>
      <c r="CH19" s="21"/>
      <c r="CI19" s="21"/>
      <c r="CJ19" s="21"/>
      <c r="CK19" s="21"/>
    </row>
    <row r="20" spans="2:89" ht="15" customHeight="1" x14ac:dyDescent="0.25">
      <c r="B20" s="19"/>
      <c r="C20" s="78"/>
      <c r="D20" s="79"/>
      <c r="E20" s="79"/>
      <c r="F20" s="79"/>
      <c r="G20" s="79"/>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54"/>
      <c r="AO20" s="154"/>
      <c r="AP20" s="154"/>
      <c r="AQ20" s="154"/>
      <c r="AR20" s="154"/>
      <c r="AS20" s="154"/>
      <c r="AT20" s="154"/>
      <c r="AU20" s="154"/>
      <c r="AV20" s="154"/>
      <c r="AW20" s="154"/>
      <c r="AX20" s="154"/>
      <c r="AY20" s="154"/>
      <c r="AZ20" s="154"/>
      <c r="BA20" s="154"/>
      <c r="BB20" s="154"/>
      <c r="BC20" s="154"/>
      <c r="BD20" s="79"/>
      <c r="BE20" s="85"/>
      <c r="BF20" s="152"/>
      <c r="CF20" s="21"/>
      <c r="CG20" s="21"/>
      <c r="CH20" s="21"/>
      <c r="CI20" s="21"/>
      <c r="CJ20" s="21"/>
      <c r="CK20" s="21"/>
    </row>
    <row r="21" spans="2:89" ht="15" customHeight="1" x14ac:dyDescent="0.25">
      <c r="B21" s="19"/>
      <c r="C21" s="78"/>
      <c r="D21" s="79"/>
      <c r="E21" s="79"/>
      <c r="F21" s="79"/>
      <c r="G21" s="79"/>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54"/>
      <c r="AO21" s="154"/>
      <c r="AP21" s="154"/>
      <c r="AQ21" s="154"/>
      <c r="AR21" s="154"/>
      <c r="AS21" s="154"/>
      <c r="AT21" s="154"/>
      <c r="AU21" s="154"/>
      <c r="AV21" s="154"/>
      <c r="AW21" s="154"/>
      <c r="AX21" s="154"/>
      <c r="AY21" s="154"/>
      <c r="AZ21" s="154"/>
      <c r="BA21" s="154"/>
      <c r="BB21" s="154"/>
      <c r="BC21" s="154"/>
      <c r="BD21" s="79"/>
      <c r="BE21" s="85"/>
      <c r="BF21" s="152"/>
      <c r="CF21" s="21"/>
      <c r="CG21" s="21"/>
      <c r="CH21" s="21"/>
      <c r="CI21" s="21"/>
      <c r="CJ21" s="21"/>
      <c r="CK21" s="21"/>
    </row>
    <row r="22" spans="2:89" ht="15" customHeight="1" x14ac:dyDescent="0.25">
      <c r="B22" s="19"/>
      <c r="C22" s="78"/>
      <c r="D22" s="79"/>
      <c r="E22" s="79"/>
      <c r="F22" s="79"/>
      <c r="G22" s="79"/>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54"/>
      <c r="AO22" s="154"/>
      <c r="AP22" s="154"/>
      <c r="AQ22" s="154"/>
      <c r="AR22" s="154"/>
      <c r="AS22" s="154"/>
      <c r="AT22" s="154"/>
      <c r="AU22" s="154"/>
      <c r="AV22" s="154"/>
      <c r="AW22" s="154"/>
      <c r="AX22" s="154"/>
      <c r="AY22" s="154"/>
      <c r="AZ22" s="154"/>
      <c r="BA22" s="154"/>
      <c r="BB22" s="154"/>
      <c r="BC22" s="154"/>
      <c r="BD22" s="79"/>
      <c r="BE22" s="85"/>
      <c r="BF22" s="152"/>
      <c r="CF22" s="21"/>
      <c r="CG22" s="21"/>
      <c r="CH22" s="21"/>
      <c r="CI22" s="21"/>
      <c r="CJ22" s="21"/>
      <c r="CK22" s="21"/>
    </row>
    <row r="23" spans="2:89" ht="15" customHeight="1" x14ac:dyDescent="0.25">
      <c r="B23" s="19"/>
      <c r="C23" s="78"/>
      <c r="D23" s="79"/>
      <c r="E23" s="79"/>
      <c r="F23" s="79"/>
      <c r="G23" s="79"/>
      <c r="H23" s="154" t="str">
        <f>CONCATENATE(CF10,CG10,CH10,CI10,CJ10)</f>
        <v xml:space="preserve">          Após análise técnica do nosso setor da Qualidade, informamos que a devolução do pedido nº 0, referente ao produto 0, não foi autorizada, e retornaremos o seu produto ao endereço da entrega.</v>
      </c>
      <c r="I23" s="154"/>
      <c r="J23" s="154"/>
      <c r="K23" s="154"/>
      <c r="L23" s="154"/>
      <c r="M23" s="154"/>
      <c r="N23" s="154"/>
      <c r="O23" s="154"/>
      <c r="P23" s="154"/>
      <c r="Q23" s="154"/>
      <c r="R23" s="154"/>
      <c r="S23" s="154"/>
      <c r="T23" s="154"/>
      <c r="U23" s="154"/>
      <c r="V23" s="154"/>
      <c r="W23" s="154"/>
      <c r="X23" s="154"/>
      <c r="Y23" s="154"/>
      <c r="Z23" s="154"/>
      <c r="AA23" s="154"/>
      <c r="AB23" s="154"/>
      <c r="AC23" s="154"/>
      <c r="AD23" s="154"/>
      <c r="AE23" s="154"/>
      <c r="AF23" s="154"/>
      <c r="AG23" s="154"/>
      <c r="AH23" s="154"/>
      <c r="AI23" s="154"/>
      <c r="AJ23" s="154"/>
      <c r="AK23" s="154"/>
      <c r="AL23" s="154"/>
      <c r="AM23" s="154"/>
      <c r="AN23" s="154"/>
      <c r="AO23" s="154"/>
      <c r="AP23" s="154"/>
      <c r="AQ23" s="154"/>
      <c r="AR23" s="154"/>
      <c r="AS23" s="154"/>
      <c r="AT23" s="154"/>
      <c r="AU23" s="154"/>
      <c r="AV23" s="154"/>
      <c r="AW23" s="154"/>
      <c r="AX23" s="154"/>
      <c r="AY23" s="154"/>
      <c r="AZ23" s="154"/>
      <c r="BA23" s="154"/>
      <c r="BB23" s="154"/>
      <c r="BC23" s="154"/>
      <c r="BD23" s="79"/>
      <c r="BE23" s="85"/>
      <c r="BF23" s="152"/>
      <c r="CF23" s="21"/>
      <c r="CG23" s="21"/>
      <c r="CH23" s="21"/>
      <c r="CI23" s="21"/>
      <c r="CJ23" s="21"/>
      <c r="CK23" s="21"/>
    </row>
    <row r="24" spans="2:89" ht="15" customHeight="1" x14ac:dyDescent="0.25">
      <c r="B24" s="19"/>
      <c r="C24" s="78"/>
      <c r="D24" s="79"/>
      <c r="E24" s="79"/>
      <c r="F24" s="79"/>
      <c r="G24" s="79"/>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54"/>
      <c r="AO24" s="154"/>
      <c r="AP24" s="154"/>
      <c r="AQ24" s="154"/>
      <c r="AR24" s="154"/>
      <c r="AS24" s="154"/>
      <c r="AT24" s="154"/>
      <c r="AU24" s="154"/>
      <c r="AV24" s="154"/>
      <c r="AW24" s="154"/>
      <c r="AX24" s="154"/>
      <c r="AY24" s="154"/>
      <c r="AZ24" s="154"/>
      <c r="BA24" s="154"/>
      <c r="BB24" s="154"/>
      <c r="BC24" s="154"/>
      <c r="BD24" s="79"/>
      <c r="BE24" s="85"/>
      <c r="BF24" s="152"/>
      <c r="CF24" s="21"/>
      <c r="CG24" s="21"/>
      <c r="CH24" s="21"/>
      <c r="CI24" s="21"/>
      <c r="CJ24" s="21"/>
      <c r="CK24" s="21"/>
    </row>
    <row r="25" spans="2:89" ht="15" customHeight="1" x14ac:dyDescent="0.25">
      <c r="B25" s="19"/>
      <c r="C25" s="78"/>
      <c r="D25" s="79"/>
      <c r="E25" s="79"/>
      <c r="F25" s="79"/>
      <c r="G25" s="79"/>
      <c r="H25" s="154"/>
      <c r="I25" s="154"/>
      <c r="J25" s="154"/>
      <c r="K25" s="154"/>
      <c r="L25" s="154"/>
      <c r="M25" s="154"/>
      <c r="N25" s="154"/>
      <c r="O25" s="154"/>
      <c r="P25" s="154"/>
      <c r="Q25" s="154"/>
      <c r="R25" s="154"/>
      <c r="S25" s="154"/>
      <c r="T25" s="154"/>
      <c r="U25" s="154"/>
      <c r="V25" s="154"/>
      <c r="W25" s="154"/>
      <c r="X25" s="154"/>
      <c r="Y25" s="154"/>
      <c r="Z25" s="154"/>
      <c r="AA25" s="154"/>
      <c r="AB25" s="154"/>
      <c r="AC25" s="154"/>
      <c r="AD25" s="154"/>
      <c r="AE25" s="154"/>
      <c r="AF25" s="154"/>
      <c r="AG25" s="154"/>
      <c r="AH25" s="154"/>
      <c r="AI25" s="154"/>
      <c r="AJ25" s="154"/>
      <c r="AK25" s="154"/>
      <c r="AL25" s="154"/>
      <c r="AM25" s="154"/>
      <c r="AN25" s="154"/>
      <c r="AO25" s="154"/>
      <c r="AP25" s="154"/>
      <c r="AQ25" s="154"/>
      <c r="AR25" s="154"/>
      <c r="AS25" s="154"/>
      <c r="AT25" s="154"/>
      <c r="AU25" s="154"/>
      <c r="AV25" s="154"/>
      <c r="AW25" s="154"/>
      <c r="AX25" s="154"/>
      <c r="AY25" s="154"/>
      <c r="AZ25" s="154"/>
      <c r="BA25" s="154"/>
      <c r="BB25" s="154"/>
      <c r="BC25" s="154"/>
      <c r="BD25" s="79"/>
      <c r="BE25" s="85"/>
      <c r="BF25" s="152"/>
      <c r="CF25" s="21"/>
      <c r="CG25" s="21"/>
      <c r="CH25" s="21"/>
      <c r="CI25" s="21"/>
      <c r="CJ25" s="21"/>
      <c r="CK25" s="21"/>
    </row>
    <row r="26" spans="2:89" ht="15.75" customHeight="1" x14ac:dyDescent="0.25">
      <c r="B26" s="19"/>
      <c r="C26" s="78"/>
      <c r="D26" s="79"/>
      <c r="E26" s="79"/>
      <c r="F26" s="79"/>
      <c r="G26" s="79"/>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54"/>
      <c r="AO26" s="154"/>
      <c r="AP26" s="154"/>
      <c r="AQ26" s="154"/>
      <c r="AR26" s="154"/>
      <c r="AS26" s="154"/>
      <c r="AT26" s="154"/>
      <c r="AU26" s="154"/>
      <c r="AV26" s="154"/>
      <c r="AW26" s="154"/>
      <c r="AX26" s="154"/>
      <c r="AY26" s="154"/>
      <c r="AZ26" s="154"/>
      <c r="BA26" s="154"/>
      <c r="BB26" s="154"/>
      <c r="BC26" s="154"/>
      <c r="BD26" s="79"/>
      <c r="BE26" s="85"/>
      <c r="BF26" s="152"/>
      <c r="CF26" s="21"/>
      <c r="CG26" s="21"/>
      <c r="CH26" s="21"/>
      <c r="CI26" s="21"/>
      <c r="CJ26" s="21"/>
      <c r="CK26" s="21"/>
    </row>
    <row r="27" spans="2:89" ht="15" customHeight="1" x14ac:dyDescent="0.25">
      <c r="B27" s="19"/>
      <c r="C27" s="78"/>
      <c r="D27" s="79"/>
      <c r="E27" s="79"/>
      <c r="F27" s="79"/>
      <c r="G27" s="79"/>
      <c r="H27" s="154" t="str">
        <f>CONCATENATE(CF12,CG12,CH12,CI12,CJ12)</f>
        <v xml:space="preserve">          Prezando pela transparência, segue anexo Laudo Técnico detalhando os motivos que fundamentaram a nossa decisão. Contamos com a sua compreensão nos critérios desta análise e esperamos que continue acreditando no nosso trabalho.</v>
      </c>
      <c r="I27" s="154"/>
      <c r="J27" s="154"/>
      <c r="K27" s="154"/>
      <c r="L27" s="154"/>
      <c r="M27" s="154"/>
      <c r="N27" s="154"/>
      <c r="O27" s="154"/>
      <c r="P27" s="154"/>
      <c r="Q27" s="154"/>
      <c r="R27" s="154"/>
      <c r="S27" s="154"/>
      <c r="T27" s="154"/>
      <c r="U27" s="154"/>
      <c r="V27" s="154"/>
      <c r="W27" s="154"/>
      <c r="X27" s="154"/>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79"/>
      <c r="BE27" s="86"/>
      <c r="BF27" s="153" t="str">
        <f>CONCATENATE("Este documento foi gerado eletronicamente por ",T121," em")</f>
        <v>Este documento foi gerado eletronicamente por  em</v>
      </c>
      <c r="CF27" s="21"/>
      <c r="CG27" s="21"/>
      <c r="CH27" s="21"/>
      <c r="CI27" s="21"/>
      <c r="CJ27" s="21"/>
      <c r="CK27" s="21"/>
    </row>
    <row r="28" spans="2:89" ht="15" customHeight="1" x14ac:dyDescent="0.25">
      <c r="B28" s="19"/>
      <c r="C28" s="78"/>
      <c r="D28" s="79"/>
      <c r="E28" s="79"/>
      <c r="F28" s="79"/>
      <c r="G28" s="79"/>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54"/>
      <c r="AO28" s="154"/>
      <c r="AP28" s="154"/>
      <c r="AQ28" s="154"/>
      <c r="AR28" s="154"/>
      <c r="AS28" s="154"/>
      <c r="AT28" s="154"/>
      <c r="AU28" s="154"/>
      <c r="AV28" s="154"/>
      <c r="AW28" s="154"/>
      <c r="AX28" s="154"/>
      <c r="AY28" s="154"/>
      <c r="AZ28" s="154"/>
      <c r="BA28" s="154"/>
      <c r="BB28" s="154"/>
      <c r="BC28" s="154"/>
      <c r="BD28" s="79"/>
      <c r="BE28" s="86"/>
      <c r="BF28" s="153"/>
      <c r="CF28" s="21"/>
      <c r="CG28" s="21"/>
      <c r="CH28" s="21"/>
      <c r="CI28" s="21"/>
      <c r="CJ28" s="21"/>
      <c r="CK28" s="21"/>
    </row>
    <row r="29" spans="2:89" ht="15" customHeight="1" x14ac:dyDescent="0.25">
      <c r="B29" s="19"/>
      <c r="C29" s="78"/>
      <c r="D29" s="79"/>
      <c r="E29" s="79"/>
      <c r="F29" s="79"/>
      <c r="G29" s="79"/>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54"/>
      <c r="AJ29" s="154"/>
      <c r="AK29" s="154"/>
      <c r="AL29" s="154"/>
      <c r="AM29" s="154"/>
      <c r="AN29" s="154"/>
      <c r="AO29" s="154"/>
      <c r="AP29" s="154"/>
      <c r="AQ29" s="154"/>
      <c r="AR29" s="154"/>
      <c r="AS29" s="154"/>
      <c r="AT29" s="154"/>
      <c r="AU29" s="154"/>
      <c r="AV29" s="154"/>
      <c r="AW29" s="154"/>
      <c r="AX29" s="154"/>
      <c r="AY29" s="154"/>
      <c r="AZ29" s="154"/>
      <c r="BA29" s="154"/>
      <c r="BB29" s="154"/>
      <c r="BC29" s="154"/>
      <c r="BD29" s="79"/>
      <c r="BE29" s="86"/>
      <c r="BF29" s="153"/>
      <c r="CF29" s="21"/>
      <c r="CG29" s="21"/>
      <c r="CH29" s="21"/>
      <c r="CI29" s="21"/>
      <c r="CJ29" s="21"/>
      <c r="CK29" s="21"/>
    </row>
    <row r="30" spans="2:89" ht="15" customHeight="1" x14ac:dyDescent="0.25">
      <c r="B30" s="19"/>
      <c r="C30" s="78"/>
      <c r="D30" s="79"/>
      <c r="E30" s="79"/>
      <c r="F30" s="79"/>
      <c r="G30" s="79"/>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c r="BC30" s="154"/>
      <c r="BD30" s="79"/>
      <c r="BE30" s="86"/>
      <c r="BF30" s="153"/>
      <c r="CF30" s="21"/>
      <c r="CG30" s="21"/>
      <c r="CH30" s="21"/>
      <c r="CI30" s="21"/>
      <c r="CJ30" s="21"/>
      <c r="CK30" s="21"/>
    </row>
    <row r="31" spans="2:89" ht="15" customHeight="1" x14ac:dyDescent="0.25">
      <c r="B31" s="19"/>
      <c r="C31" s="78"/>
      <c r="D31" s="79"/>
      <c r="E31" s="79"/>
      <c r="F31" s="79"/>
      <c r="G31" s="79"/>
      <c r="H31" s="154" t="str">
        <f>CONCATENATE(CF15)</f>
        <v xml:space="preserve">          A política de trocas e devoluções da FutFanatics pode ser encontrada na página da própria loja, através do link:</v>
      </c>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c r="BC31" s="154"/>
      <c r="BD31" s="79"/>
      <c r="BE31" s="86"/>
      <c r="BF31" s="153"/>
    </row>
    <row r="32" spans="2:89" ht="15" customHeight="1" x14ac:dyDescent="0.25">
      <c r="B32" s="19"/>
      <c r="C32" s="78"/>
      <c r="D32" s="79"/>
      <c r="E32" s="79"/>
      <c r="F32" s="79"/>
      <c r="G32" s="79"/>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79"/>
      <c r="BE32" s="86"/>
      <c r="BF32" s="153"/>
    </row>
    <row r="33" spans="2:58" ht="15.75" x14ac:dyDescent="0.25">
      <c r="B33" s="19"/>
      <c r="C33" s="78"/>
      <c r="D33" s="79"/>
      <c r="E33" s="79"/>
      <c r="F33" s="79"/>
      <c r="G33" s="79"/>
      <c r="H33" s="158" t="str">
        <f>CONCATENATE(CF16)</f>
        <v>► https://www.futfanatics.com.br/politica-de-trocas-e-devolucoes</v>
      </c>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c r="AT33" s="91"/>
      <c r="AU33" s="91"/>
      <c r="AV33" s="91"/>
      <c r="AW33" s="91"/>
      <c r="AX33" s="91"/>
      <c r="AY33" s="91"/>
      <c r="AZ33" s="91"/>
      <c r="BA33" s="91"/>
      <c r="BB33" s="91"/>
      <c r="BC33" s="91"/>
      <c r="BD33" s="79"/>
      <c r="BE33" s="86"/>
      <c r="BF33" s="153"/>
    </row>
    <row r="34" spans="2:58" ht="15" customHeight="1" x14ac:dyDescent="0.25">
      <c r="B34" s="19"/>
      <c r="C34" s="78"/>
      <c r="D34" s="79"/>
      <c r="E34" s="79"/>
      <c r="F34" s="79"/>
      <c r="G34" s="79"/>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95"/>
      <c r="AU34" s="95"/>
      <c r="AV34" s="95"/>
      <c r="AW34" s="95"/>
      <c r="AX34" s="95"/>
      <c r="AY34" s="95"/>
      <c r="AZ34" s="95"/>
      <c r="BA34" s="95"/>
      <c r="BB34" s="95"/>
      <c r="BC34" s="95"/>
      <c r="BD34" s="79"/>
      <c r="BE34" s="86"/>
      <c r="BF34" s="153"/>
    </row>
    <row r="35" spans="2:58" ht="15" customHeight="1" x14ac:dyDescent="0.25">
      <c r="B35" s="19"/>
      <c r="C35" s="78"/>
      <c r="D35" s="79"/>
      <c r="E35" s="79"/>
      <c r="F35" s="79"/>
      <c r="G35" s="79"/>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79"/>
      <c r="BE35" s="86"/>
      <c r="BF35" s="153"/>
    </row>
    <row r="36" spans="2:58" ht="15" customHeight="1" x14ac:dyDescent="0.25">
      <c r="B36" s="19"/>
      <c r="C36" s="78"/>
      <c r="D36" s="79"/>
      <c r="E36" s="79"/>
      <c r="F36" s="79"/>
      <c r="G36" s="79"/>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79"/>
      <c r="BE36" s="86"/>
      <c r="BF36" s="153"/>
    </row>
    <row r="37" spans="2:58" ht="15" customHeight="1" x14ac:dyDescent="0.25">
      <c r="B37" s="19"/>
      <c r="C37" s="78"/>
      <c r="D37" s="79"/>
      <c r="E37" s="79"/>
      <c r="F37" s="79"/>
      <c r="G37" s="79"/>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79"/>
      <c r="BE37" s="86"/>
      <c r="BF37" s="153"/>
    </row>
    <row r="38" spans="2:58" ht="15" customHeight="1" x14ac:dyDescent="0.25">
      <c r="B38" s="19"/>
      <c r="C38" s="78"/>
      <c r="D38" s="79"/>
      <c r="E38" s="79"/>
      <c r="F38" s="79"/>
      <c r="G38" s="79"/>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79"/>
      <c r="BE38" s="86"/>
      <c r="BF38" s="153"/>
    </row>
    <row r="39" spans="2:58" ht="15" customHeight="1" x14ac:dyDescent="0.25">
      <c r="B39" s="19"/>
      <c r="C39" s="78"/>
      <c r="D39" s="79"/>
      <c r="E39" s="79"/>
      <c r="F39" s="79"/>
      <c r="G39" s="79"/>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79"/>
      <c r="BE39" s="86"/>
      <c r="BF39" s="153"/>
    </row>
    <row r="40" spans="2:58" ht="15.75" x14ac:dyDescent="0.25">
      <c r="B40" s="19"/>
      <c r="C40" s="78"/>
      <c r="D40" s="79"/>
      <c r="E40" s="79"/>
      <c r="F40" s="79"/>
      <c r="G40" s="79"/>
      <c r="H40" s="91"/>
      <c r="I40" s="91"/>
      <c r="J40" s="91"/>
      <c r="K40" s="91"/>
      <c r="L40" s="91"/>
      <c r="M40" s="91"/>
      <c r="N40" s="91"/>
      <c r="O40" s="91"/>
      <c r="P40" s="91"/>
      <c r="Q40" s="91"/>
      <c r="R40" s="91"/>
      <c r="S40" s="91"/>
      <c r="T40" s="91"/>
      <c r="U40" s="91"/>
      <c r="V40" s="159" t="s">
        <v>78</v>
      </c>
      <c r="W40" s="159"/>
      <c r="X40" s="159"/>
      <c r="Y40" s="159"/>
      <c r="Z40" s="159"/>
      <c r="AA40" s="159"/>
      <c r="AB40" s="159"/>
      <c r="AC40" s="159"/>
      <c r="AD40" s="159"/>
      <c r="AE40" s="159"/>
      <c r="AF40" s="159"/>
      <c r="AG40" s="159"/>
      <c r="AH40" s="159"/>
      <c r="AI40" s="159"/>
      <c r="AJ40" s="160">
        <f ca="1">CF18</f>
        <v>43994</v>
      </c>
      <c r="AK40" s="161"/>
      <c r="AL40" s="161"/>
      <c r="AM40" s="161"/>
      <c r="AN40" s="161"/>
      <c r="AO40" s="161"/>
      <c r="AP40" s="161"/>
      <c r="AQ40" s="161"/>
      <c r="AR40" s="161"/>
      <c r="AS40" s="161"/>
      <c r="AT40" s="161"/>
      <c r="AU40" s="161"/>
      <c r="AV40" s="161"/>
      <c r="AW40" s="161"/>
      <c r="AX40" s="161"/>
      <c r="AY40" s="161"/>
      <c r="AZ40" s="161"/>
      <c r="BA40" s="161"/>
      <c r="BB40" s="161"/>
      <c r="BC40" s="161"/>
      <c r="BD40" s="79"/>
      <c r="BE40" s="86"/>
      <c r="BF40" s="153"/>
    </row>
    <row r="41" spans="2:58" ht="15" customHeight="1" x14ac:dyDescent="0.25">
      <c r="B41" s="19"/>
      <c r="C41" s="78"/>
      <c r="D41" s="79"/>
      <c r="E41" s="79"/>
      <c r="F41" s="79"/>
      <c r="G41" s="79"/>
      <c r="H41" s="95"/>
      <c r="I41" s="95"/>
      <c r="J41" s="95"/>
      <c r="K41" s="95"/>
      <c r="L41" s="95"/>
      <c r="M41" s="95"/>
      <c r="N41" s="95"/>
      <c r="O41" s="95"/>
      <c r="P41" s="95"/>
      <c r="Q41" s="95"/>
      <c r="R41" s="95"/>
      <c r="S41" s="95"/>
      <c r="T41" s="95"/>
      <c r="U41" s="95"/>
      <c r="V41" s="159"/>
      <c r="W41" s="159"/>
      <c r="X41" s="159"/>
      <c r="Y41" s="159"/>
      <c r="Z41" s="159"/>
      <c r="AA41" s="159"/>
      <c r="AB41" s="159"/>
      <c r="AC41" s="159"/>
      <c r="AD41" s="159"/>
      <c r="AE41" s="159"/>
      <c r="AF41" s="159"/>
      <c r="AG41" s="159"/>
      <c r="AH41" s="159"/>
      <c r="AI41" s="159"/>
      <c r="AJ41" s="161"/>
      <c r="AK41" s="161"/>
      <c r="AL41" s="161"/>
      <c r="AM41" s="161"/>
      <c r="AN41" s="161"/>
      <c r="AO41" s="161"/>
      <c r="AP41" s="161"/>
      <c r="AQ41" s="161"/>
      <c r="AR41" s="161"/>
      <c r="AS41" s="161"/>
      <c r="AT41" s="161"/>
      <c r="AU41" s="161"/>
      <c r="AV41" s="161"/>
      <c r="AW41" s="161"/>
      <c r="AX41" s="161"/>
      <c r="AY41" s="161"/>
      <c r="AZ41" s="161"/>
      <c r="BA41" s="161"/>
      <c r="BB41" s="161"/>
      <c r="BC41" s="161"/>
      <c r="BD41" s="79"/>
      <c r="BE41" s="86"/>
      <c r="BF41" s="153"/>
    </row>
    <row r="42" spans="2:58" ht="15" customHeight="1" x14ac:dyDescent="0.25">
      <c r="B42" s="19"/>
      <c r="C42" s="78"/>
      <c r="D42" s="94"/>
      <c r="E42" s="94"/>
      <c r="F42" s="94"/>
      <c r="G42" s="94"/>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4"/>
      <c r="BE42" s="86"/>
      <c r="BF42" s="153"/>
    </row>
    <row r="43" spans="2:58" ht="15" customHeight="1" x14ac:dyDescent="0.25">
      <c r="B43" s="19"/>
      <c r="C43" s="78"/>
      <c r="D43" s="94"/>
      <c r="E43" s="94"/>
      <c r="F43" s="94"/>
      <c r="G43" s="94"/>
      <c r="H43" s="96"/>
      <c r="I43" s="96"/>
      <c r="J43" s="96"/>
      <c r="K43" s="96"/>
      <c r="L43" s="96"/>
      <c r="M43" s="96"/>
      <c r="N43" s="96"/>
      <c r="O43" s="96"/>
      <c r="P43" s="96"/>
      <c r="Q43" s="96"/>
      <c r="R43" s="96"/>
      <c r="S43" s="96"/>
      <c r="T43" s="96"/>
      <c r="U43" s="96"/>
      <c r="V43" s="96"/>
      <c r="W43" s="96"/>
      <c r="X43" s="96"/>
      <c r="Y43" s="96"/>
      <c r="Z43" s="96"/>
      <c r="AA43" s="96"/>
      <c r="AB43" s="96"/>
      <c r="AC43" s="96"/>
      <c r="AD43" s="96"/>
      <c r="AE43" s="96"/>
      <c r="AF43" s="96"/>
      <c r="AG43" s="96"/>
      <c r="AH43" s="96"/>
      <c r="AI43" s="96"/>
      <c r="AJ43" s="96"/>
      <c r="AK43" s="96"/>
      <c r="AL43" s="96"/>
      <c r="AM43" s="96"/>
      <c r="AN43" s="96"/>
      <c r="AO43" s="96"/>
      <c r="AP43" s="96"/>
      <c r="AQ43" s="96"/>
      <c r="AR43" s="96"/>
      <c r="AS43" s="96"/>
      <c r="AT43" s="96"/>
      <c r="AU43" s="96"/>
      <c r="AV43" s="96"/>
      <c r="AW43" s="96"/>
      <c r="AX43" s="96"/>
      <c r="AY43" s="96"/>
      <c r="AZ43" s="96"/>
      <c r="BA43" s="96"/>
      <c r="BB43" s="96"/>
      <c r="BC43" s="96"/>
      <c r="BD43" s="94"/>
      <c r="BE43" s="86"/>
      <c r="BF43" s="153"/>
    </row>
    <row r="44" spans="2:58" ht="15" customHeight="1" x14ac:dyDescent="0.25">
      <c r="B44" s="19"/>
      <c r="C44" s="78"/>
      <c r="D44" s="159" t="s">
        <v>108</v>
      </c>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86"/>
      <c r="BF44" s="153"/>
    </row>
    <row r="45" spans="2:58" ht="15" customHeight="1" x14ac:dyDescent="0.25">
      <c r="B45" s="19"/>
      <c r="C45" s="78"/>
      <c r="D45" s="94"/>
      <c r="E45" s="94"/>
      <c r="F45" s="94"/>
      <c r="G45" s="94"/>
      <c r="H45" s="91"/>
      <c r="I45" s="91"/>
      <c r="J45" s="91"/>
      <c r="K45" s="91"/>
      <c r="L45" s="91"/>
      <c r="M45" s="91"/>
      <c r="N45" s="91"/>
      <c r="O45" s="91"/>
      <c r="P45" s="91"/>
      <c r="Q45" s="91"/>
      <c r="R45" s="91"/>
      <c r="S45" s="91"/>
      <c r="T45" s="91"/>
      <c r="U45" s="91"/>
      <c r="V45" s="91"/>
      <c r="W45" s="91"/>
      <c r="X45" s="91"/>
      <c r="Y45" s="91"/>
      <c r="Z45" s="91"/>
      <c r="AA45" s="91"/>
      <c r="AB45" s="91"/>
      <c r="AC45" s="91"/>
      <c r="AD45" s="91"/>
      <c r="AE45" s="91"/>
      <c r="AF45" s="91"/>
      <c r="AG45" s="91"/>
      <c r="AH45" s="91"/>
      <c r="AI45" s="91"/>
      <c r="AJ45" s="91"/>
      <c r="AK45" s="91"/>
      <c r="AL45" s="91"/>
      <c r="AM45" s="91"/>
      <c r="AN45" s="91"/>
      <c r="AO45" s="91"/>
      <c r="AP45" s="91"/>
      <c r="AQ45" s="91"/>
      <c r="AR45" s="91"/>
      <c r="AS45" s="91"/>
      <c r="AT45" s="91"/>
      <c r="AU45" s="91"/>
      <c r="AV45" s="91"/>
      <c r="AW45" s="91"/>
      <c r="AX45" s="91"/>
      <c r="AY45" s="91"/>
      <c r="AZ45" s="91"/>
      <c r="BA45" s="91"/>
      <c r="BB45" s="91"/>
      <c r="BC45" s="91"/>
      <c r="BD45" s="94"/>
      <c r="BE45" s="86"/>
      <c r="BF45" s="153"/>
    </row>
    <row r="46" spans="2:58" ht="15.75" x14ac:dyDescent="0.25">
      <c r="B46" s="19"/>
      <c r="C46" s="78"/>
      <c r="D46" s="162" t="s">
        <v>99</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c r="AY46" s="162"/>
      <c r="AZ46" s="162"/>
      <c r="BA46" s="162"/>
      <c r="BB46" s="162"/>
      <c r="BC46" s="162"/>
      <c r="BD46" s="162"/>
      <c r="BE46" s="86"/>
      <c r="BF46" s="153"/>
    </row>
    <row r="47" spans="2:58" ht="15" customHeight="1" x14ac:dyDescent="0.25">
      <c r="B47" s="19"/>
      <c r="C47" s="78"/>
      <c r="D47" s="94"/>
      <c r="E47" s="94"/>
      <c r="F47" s="94"/>
      <c r="G47" s="94"/>
      <c r="H47" s="98"/>
      <c r="I47" s="98"/>
      <c r="J47" s="98"/>
      <c r="K47" s="98"/>
      <c r="L47" s="98"/>
      <c r="M47" s="98"/>
      <c r="N47" s="98"/>
      <c r="O47" s="98"/>
      <c r="P47" s="98"/>
      <c r="Q47" s="98"/>
      <c r="R47" s="98"/>
      <c r="S47" s="98"/>
      <c r="T47" s="98"/>
      <c r="U47" s="98"/>
      <c r="V47" s="98"/>
      <c r="W47" s="98"/>
      <c r="X47" s="98"/>
      <c r="Y47" s="91"/>
      <c r="Z47" s="91"/>
      <c r="AA47" s="91"/>
      <c r="AB47" s="91"/>
      <c r="AC47" s="91"/>
      <c r="AD47" s="91"/>
      <c r="AE47" s="91"/>
      <c r="AF47" s="91"/>
      <c r="AG47" s="91"/>
      <c r="AH47" s="91"/>
      <c r="AI47" s="91"/>
      <c r="AJ47" s="97"/>
      <c r="AK47" s="91"/>
      <c r="AL47" s="98"/>
      <c r="AM47" s="98"/>
      <c r="AN47" s="98"/>
      <c r="AO47" s="98"/>
      <c r="AP47" s="98"/>
      <c r="AQ47" s="98"/>
      <c r="AR47" s="98"/>
      <c r="AS47" s="98"/>
      <c r="AT47" s="98"/>
      <c r="AU47" s="98"/>
      <c r="AV47" s="98"/>
      <c r="AW47" s="98"/>
      <c r="AX47" s="98"/>
      <c r="AY47" s="98"/>
      <c r="AZ47" s="98"/>
      <c r="BA47" s="98"/>
      <c r="BB47" s="98"/>
      <c r="BC47" s="91"/>
      <c r="BD47" s="94"/>
      <c r="BE47" s="86"/>
      <c r="BF47" s="153"/>
    </row>
    <row r="48" spans="2:58" ht="15" customHeight="1" x14ac:dyDescent="0.25">
      <c r="B48" s="19"/>
      <c r="C48" s="78"/>
      <c r="D48" s="94"/>
      <c r="E48" s="94"/>
      <c r="F48" s="94"/>
      <c r="G48" s="94"/>
      <c r="H48" s="94"/>
      <c r="I48" s="94"/>
      <c r="J48" s="94"/>
      <c r="K48" s="94"/>
      <c r="L48" s="94"/>
      <c r="M48" s="94"/>
      <c r="N48" s="94"/>
      <c r="O48" s="94"/>
      <c r="P48" s="94"/>
      <c r="Q48" s="94"/>
      <c r="R48" s="94"/>
      <c r="S48" s="94"/>
      <c r="T48" s="94"/>
      <c r="U48" s="94"/>
      <c r="V48" s="91"/>
      <c r="W48" s="91"/>
      <c r="X48" s="91"/>
      <c r="Y48" s="91"/>
      <c r="Z48" s="91"/>
      <c r="AA48" s="91"/>
      <c r="AB48" s="91"/>
      <c r="AC48" s="91"/>
      <c r="AD48" s="91"/>
      <c r="AE48" s="91"/>
      <c r="AF48" s="91"/>
      <c r="AG48" s="91"/>
      <c r="AH48" s="91"/>
      <c r="AI48" s="91"/>
      <c r="AJ48" s="91"/>
      <c r="AK48" s="91"/>
      <c r="AL48" s="91"/>
      <c r="AM48" s="91"/>
      <c r="AN48" s="91"/>
      <c r="AO48" s="91"/>
      <c r="AP48" s="91"/>
      <c r="AQ48" s="91"/>
      <c r="AR48" s="91"/>
      <c r="AS48" s="91"/>
      <c r="AT48" s="91"/>
      <c r="AU48" s="91"/>
      <c r="AV48" s="91"/>
      <c r="AW48" s="91"/>
      <c r="AX48" s="91"/>
      <c r="AY48" s="91"/>
      <c r="AZ48" s="91"/>
      <c r="BA48" s="91"/>
      <c r="BB48" s="91"/>
      <c r="BC48" s="91"/>
      <c r="BD48" s="94"/>
      <c r="BE48" s="86"/>
      <c r="BF48" s="153"/>
    </row>
    <row r="49" spans="2:106" x14ac:dyDescent="0.25">
      <c r="B49" s="19"/>
      <c r="C49" s="78"/>
      <c r="D49" s="94"/>
      <c r="E49" s="94"/>
      <c r="F49" s="94"/>
      <c r="G49" s="94"/>
      <c r="H49" s="94"/>
      <c r="I49" s="94"/>
      <c r="J49" s="94"/>
      <c r="K49" s="94"/>
      <c r="L49" s="94"/>
      <c r="M49" s="94"/>
      <c r="N49" s="94"/>
      <c r="O49" s="94"/>
      <c r="P49" s="94"/>
      <c r="Q49" s="94"/>
      <c r="R49" s="94"/>
      <c r="S49" s="94"/>
      <c r="T49" s="94"/>
      <c r="U49" s="94"/>
      <c r="V49" s="94"/>
      <c r="W49" s="94"/>
      <c r="X49" s="94"/>
      <c r="Y49" s="94"/>
      <c r="Z49" s="94"/>
      <c r="AA49" s="94"/>
      <c r="AB49" s="94"/>
      <c r="AC49" s="94"/>
      <c r="AD49" s="94"/>
      <c r="AE49" s="94"/>
      <c r="AF49" s="94"/>
      <c r="AG49" s="94"/>
      <c r="AH49" s="94"/>
      <c r="AI49" s="94"/>
      <c r="AJ49" s="94"/>
      <c r="AK49" s="94"/>
      <c r="AL49" s="94"/>
      <c r="AM49" s="94"/>
      <c r="AN49" s="94"/>
      <c r="AO49" s="94"/>
      <c r="AP49" s="94"/>
      <c r="AQ49" s="94"/>
      <c r="AR49" s="94"/>
      <c r="AS49" s="94"/>
      <c r="AT49" s="94"/>
      <c r="AU49" s="94"/>
      <c r="AV49" s="94"/>
      <c r="AW49" s="94"/>
      <c r="AX49" s="94"/>
      <c r="AY49" s="94"/>
      <c r="AZ49" s="94"/>
      <c r="BA49" s="94"/>
      <c r="BB49" s="94"/>
      <c r="BC49" s="94"/>
      <c r="BD49" s="94"/>
      <c r="BE49" s="86"/>
      <c r="BF49" s="153"/>
    </row>
    <row r="50" spans="2:106" x14ac:dyDescent="0.25">
      <c r="B50" s="19"/>
      <c r="C50" s="78"/>
      <c r="D50" s="94"/>
      <c r="E50" s="94"/>
      <c r="F50" s="94"/>
      <c r="G50" s="94"/>
      <c r="H50" s="94"/>
      <c r="I50" s="94"/>
      <c r="J50" s="94"/>
      <c r="K50" s="94"/>
      <c r="L50" s="94"/>
      <c r="M50" s="94"/>
      <c r="N50" s="94"/>
      <c r="O50" s="94"/>
      <c r="P50" s="94"/>
      <c r="Q50" s="94"/>
      <c r="R50" s="94"/>
      <c r="S50" s="94"/>
      <c r="T50" s="94"/>
      <c r="U50" s="94"/>
      <c r="V50" s="94"/>
      <c r="W50" s="94"/>
      <c r="X50" s="94"/>
      <c r="Y50" s="94"/>
      <c r="Z50" s="94"/>
      <c r="AA50" s="94"/>
      <c r="AB50" s="94"/>
      <c r="AC50" s="94"/>
      <c r="AD50" s="94"/>
      <c r="AE50" s="94"/>
      <c r="AF50" s="94"/>
      <c r="AG50" s="94"/>
      <c r="AH50" s="94"/>
      <c r="AI50" s="94"/>
      <c r="AJ50" s="94"/>
      <c r="AK50" s="94"/>
      <c r="AL50" s="94"/>
      <c r="AM50" s="94"/>
      <c r="AN50" s="94"/>
      <c r="AO50" s="94"/>
      <c r="AP50" s="94"/>
      <c r="AQ50" s="94"/>
      <c r="AR50" s="94"/>
      <c r="AS50" s="94"/>
      <c r="AT50" s="94"/>
      <c r="AU50" s="94"/>
      <c r="AV50" s="94"/>
      <c r="AW50" s="94"/>
      <c r="AX50" s="94"/>
      <c r="AY50" s="94"/>
      <c r="AZ50" s="94"/>
      <c r="BA50" s="94"/>
      <c r="BB50" s="94"/>
      <c r="BC50" s="94"/>
      <c r="BD50" s="94"/>
      <c r="BE50" s="86"/>
      <c r="BF50" s="153"/>
    </row>
    <row r="51" spans="2:106" x14ac:dyDescent="0.25">
      <c r="B51" s="19"/>
      <c r="C51" s="78"/>
      <c r="D51" s="94"/>
      <c r="E51" s="94"/>
      <c r="F51" s="94"/>
      <c r="G51" s="94"/>
      <c r="H51" s="94"/>
      <c r="I51" s="94"/>
      <c r="J51" s="94"/>
      <c r="K51" s="94"/>
      <c r="L51" s="94"/>
      <c r="M51" s="94"/>
      <c r="N51" s="94"/>
      <c r="O51" s="94"/>
      <c r="P51" s="94"/>
      <c r="Q51" s="94"/>
      <c r="R51" s="94"/>
      <c r="S51" s="94"/>
      <c r="T51" s="94"/>
      <c r="U51" s="94"/>
      <c r="V51" s="94"/>
      <c r="W51" s="94"/>
      <c r="X51" s="94"/>
      <c r="Y51" s="94"/>
      <c r="Z51" s="94"/>
      <c r="AA51" s="94"/>
      <c r="AB51" s="94"/>
      <c r="AC51" s="94"/>
      <c r="AD51" s="94"/>
      <c r="AE51" s="94"/>
      <c r="AF51" s="94"/>
      <c r="AG51" s="94"/>
      <c r="AH51" s="94"/>
      <c r="AI51" s="94"/>
      <c r="AJ51" s="94"/>
      <c r="AK51" s="94"/>
      <c r="AL51" s="94"/>
      <c r="AM51" s="94"/>
      <c r="AN51" s="94"/>
      <c r="AO51" s="94"/>
      <c r="AP51" s="94"/>
      <c r="AQ51" s="94"/>
      <c r="AR51" s="94"/>
      <c r="AS51" s="94"/>
      <c r="AT51" s="94"/>
      <c r="AU51" s="94"/>
      <c r="AV51" s="94"/>
      <c r="AW51" s="94"/>
      <c r="AX51" s="94"/>
      <c r="AY51" s="94"/>
      <c r="AZ51" s="94"/>
      <c r="BA51" s="94"/>
      <c r="BB51" s="94"/>
      <c r="BC51" s="94"/>
      <c r="BD51" s="94"/>
      <c r="BE51" s="86"/>
      <c r="BF51" s="153"/>
    </row>
    <row r="52" spans="2:106" x14ac:dyDescent="0.25">
      <c r="B52" s="19"/>
      <c r="C52" s="78"/>
      <c r="D52" s="94"/>
      <c r="E52" s="94"/>
      <c r="F52" s="94"/>
      <c r="G52" s="94"/>
      <c r="H52" s="93"/>
      <c r="I52" s="93"/>
      <c r="J52" s="93"/>
      <c r="K52" s="93"/>
      <c r="L52" s="93"/>
      <c r="M52" s="93"/>
      <c r="N52" s="93"/>
      <c r="O52" s="93"/>
      <c r="P52" s="93"/>
      <c r="Q52" s="93"/>
      <c r="R52" s="93"/>
      <c r="S52" s="93"/>
      <c r="T52" s="93"/>
      <c r="U52" s="93"/>
      <c r="V52" s="93"/>
      <c r="W52" s="93"/>
      <c r="X52" s="93"/>
      <c r="Y52" s="94"/>
      <c r="Z52" s="94"/>
      <c r="AA52" s="94"/>
      <c r="AB52" s="94"/>
      <c r="AC52" s="94"/>
      <c r="AD52" s="94"/>
      <c r="AE52" s="94"/>
      <c r="AF52" s="94"/>
      <c r="AG52" s="94"/>
      <c r="AH52" s="94"/>
      <c r="AI52" s="94"/>
      <c r="AJ52" s="94"/>
      <c r="AK52" s="94"/>
      <c r="AL52" s="93"/>
      <c r="AM52" s="93"/>
      <c r="AN52" s="93"/>
      <c r="AO52" s="93"/>
      <c r="AP52" s="93"/>
      <c r="AQ52" s="93"/>
      <c r="AR52" s="93"/>
      <c r="AS52" s="93"/>
      <c r="AT52" s="93"/>
      <c r="AU52" s="93"/>
      <c r="AV52" s="93"/>
      <c r="AW52" s="93"/>
      <c r="AX52" s="93"/>
      <c r="AY52" s="93"/>
      <c r="AZ52" s="93"/>
      <c r="BA52" s="93"/>
      <c r="BB52" s="93"/>
      <c r="BC52" s="94"/>
      <c r="BD52" s="94"/>
      <c r="BE52" s="86"/>
      <c r="BF52" s="153"/>
    </row>
    <row r="53" spans="2:106" x14ac:dyDescent="0.25">
      <c r="B53" s="19"/>
      <c r="C53" s="78"/>
      <c r="D53" s="94"/>
      <c r="E53" s="94"/>
      <c r="F53" s="94"/>
      <c r="G53" s="94"/>
      <c r="H53" s="93"/>
      <c r="I53" s="93"/>
      <c r="J53" s="93"/>
      <c r="K53" s="93"/>
      <c r="L53" s="93"/>
      <c r="M53" s="93"/>
      <c r="N53" s="93"/>
      <c r="O53" s="93"/>
      <c r="P53" s="93"/>
      <c r="Q53" s="93"/>
      <c r="R53" s="93"/>
      <c r="S53" s="93"/>
      <c r="T53" s="93"/>
      <c r="U53" s="93"/>
      <c r="V53" s="93"/>
      <c r="W53" s="93"/>
      <c r="X53" s="93"/>
      <c r="Y53" s="94"/>
      <c r="Z53" s="94"/>
      <c r="AA53" s="94"/>
      <c r="AB53" s="94"/>
      <c r="AC53" s="94"/>
      <c r="AD53" s="94"/>
      <c r="AE53" s="94"/>
      <c r="AF53" s="94"/>
      <c r="AG53" s="94"/>
      <c r="AH53" s="94"/>
      <c r="AI53" s="94"/>
      <c r="AJ53" s="94"/>
      <c r="AK53" s="94"/>
      <c r="AL53" s="93"/>
      <c r="AM53" s="93"/>
      <c r="AN53" s="93"/>
      <c r="AO53" s="93"/>
      <c r="AP53" s="93"/>
      <c r="AQ53" s="93"/>
      <c r="AR53" s="93"/>
      <c r="AS53" s="93"/>
      <c r="AT53" s="93"/>
      <c r="AU53" s="93"/>
      <c r="AV53" s="93"/>
      <c r="AW53" s="93"/>
      <c r="AX53" s="93"/>
      <c r="AY53" s="93"/>
      <c r="AZ53" s="93"/>
      <c r="BA53" s="93"/>
      <c r="BB53" s="93"/>
      <c r="BC53" s="94"/>
      <c r="BD53" s="94"/>
      <c r="BE53" s="86"/>
      <c r="BF53" s="153"/>
    </row>
    <row r="54" spans="2:106" x14ac:dyDescent="0.25">
      <c r="B54" s="19"/>
      <c r="C54" s="78"/>
      <c r="D54" s="94"/>
      <c r="E54" s="94"/>
      <c r="F54" s="94"/>
      <c r="G54" s="94"/>
      <c r="H54" s="93"/>
      <c r="I54" s="93"/>
      <c r="J54" s="93"/>
      <c r="K54" s="93"/>
      <c r="L54" s="93"/>
      <c r="M54" s="93"/>
      <c r="N54" s="93"/>
      <c r="O54" s="93"/>
      <c r="P54" s="93"/>
      <c r="Q54" s="93"/>
      <c r="R54" s="93"/>
      <c r="S54" s="93"/>
      <c r="T54" s="93"/>
      <c r="U54" s="93"/>
      <c r="V54" s="93"/>
      <c r="W54" s="93"/>
      <c r="X54" s="93"/>
      <c r="Y54" s="94"/>
      <c r="Z54" s="94"/>
      <c r="AA54" s="94"/>
      <c r="AB54" s="94"/>
      <c r="AC54" s="94"/>
      <c r="AD54" s="94"/>
      <c r="AE54" s="94"/>
      <c r="AF54" s="94"/>
      <c r="AG54" s="94"/>
      <c r="AH54" s="94"/>
      <c r="AI54" s="94"/>
      <c r="AJ54" s="94"/>
      <c r="AK54" s="94"/>
      <c r="AL54" s="93"/>
      <c r="AM54" s="93"/>
      <c r="AN54" s="93"/>
      <c r="AO54" s="93"/>
      <c r="AP54" s="93"/>
      <c r="AQ54" s="93"/>
      <c r="AR54" s="93"/>
      <c r="AS54" s="93"/>
      <c r="AT54" s="93"/>
      <c r="AU54" s="93"/>
      <c r="AV54" s="93"/>
      <c r="AW54" s="93"/>
      <c r="AX54" s="93"/>
      <c r="AY54" s="93"/>
      <c r="AZ54" s="93"/>
      <c r="BA54" s="93"/>
      <c r="BB54" s="93"/>
      <c r="BC54" s="94"/>
      <c r="BD54" s="94"/>
      <c r="BE54" s="86"/>
      <c r="BF54" s="153"/>
    </row>
    <row r="55" spans="2:106" x14ac:dyDescent="0.25">
      <c r="B55" s="19"/>
      <c r="C55" s="78"/>
      <c r="D55" s="94"/>
      <c r="E55" s="94"/>
      <c r="F55" s="94"/>
      <c r="G55" s="94"/>
      <c r="H55" s="93"/>
      <c r="I55" s="93"/>
      <c r="J55" s="93"/>
      <c r="K55" s="93"/>
      <c r="L55" s="93"/>
      <c r="M55" s="93"/>
      <c r="N55" s="93"/>
      <c r="O55" s="93"/>
      <c r="P55" s="93"/>
      <c r="Q55" s="93"/>
      <c r="R55" s="93"/>
      <c r="S55" s="93"/>
      <c r="T55" s="93"/>
      <c r="U55" s="93"/>
      <c r="V55" s="93"/>
      <c r="W55" s="93"/>
      <c r="X55" s="93"/>
      <c r="Y55" s="94"/>
      <c r="Z55" s="94"/>
      <c r="AA55" s="94"/>
      <c r="AB55" s="94"/>
      <c r="AC55" s="94"/>
      <c r="AD55" s="94"/>
      <c r="AE55" s="94"/>
      <c r="AF55" s="94"/>
      <c r="AG55" s="94"/>
      <c r="AH55" s="94"/>
      <c r="AI55" s="94"/>
      <c r="AJ55" s="94"/>
      <c r="AK55" s="94"/>
      <c r="AL55" s="93"/>
      <c r="AM55" s="93"/>
      <c r="AN55" s="93"/>
      <c r="AO55" s="93"/>
      <c r="AP55" s="93"/>
      <c r="AQ55" s="93"/>
      <c r="AR55" s="93"/>
      <c r="AS55" s="93"/>
      <c r="AT55" s="93"/>
      <c r="AU55" s="93"/>
      <c r="AV55" s="93"/>
      <c r="AW55" s="93"/>
      <c r="AX55" s="93"/>
      <c r="AY55" s="93"/>
      <c r="AZ55" s="93"/>
      <c r="BA55" s="93"/>
      <c r="BB55" s="93"/>
      <c r="BC55" s="94"/>
      <c r="BD55" s="94"/>
      <c r="BE55" s="86"/>
      <c r="BF55" s="153"/>
    </row>
    <row r="56" spans="2:106" x14ac:dyDescent="0.25">
      <c r="B56" s="19"/>
      <c r="C56" s="80"/>
      <c r="D56" s="81"/>
      <c r="E56" s="81"/>
      <c r="F56" s="81"/>
      <c r="G56" s="81"/>
      <c r="H56" s="81"/>
      <c r="I56" s="81"/>
      <c r="J56" s="81"/>
      <c r="K56" s="81"/>
      <c r="L56" s="81"/>
      <c r="M56" s="81"/>
      <c r="N56" s="81"/>
      <c r="O56" s="81"/>
      <c r="P56" s="81"/>
      <c r="Q56" s="81"/>
      <c r="R56" s="81"/>
      <c r="S56" s="81"/>
      <c r="T56" s="81"/>
      <c r="U56" s="81"/>
      <c r="V56" s="81"/>
      <c r="W56" s="81"/>
      <c r="X56" s="81"/>
      <c r="Y56" s="81"/>
      <c r="Z56" s="81"/>
      <c r="AA56" s="81"/>
      <c r="AB56" s="81"/>
      <c r="AC56" s="81"/>
      <c r="AD56" s="81"/>
      <c r="AE56" s="81"/>
      <c r="AF56" s="81"/>
      <c r="AG56" s="81"/>
      <c r="AH56" s="81"/>
      <c r="AI56" s="81"/>
      <c r="AJ56" s="81"/>
      <c r="AK56" s="81"/>
      <c r="AL56" s="81"/>
      <c r="AM56" s="81"/>
      <c r="AN56" s="81"/>
      <c r="AO56" s="81"/>
      <c r="AP56" s="81"/>
      <c r="AQ56" s="81"/>
      <c r="AR56" s="81"/>
      <c r="AS56" s="81"/>
      <c r="AT56" s="81"/>
      <c r="AU56" s="81"/>
      <c r="AV56" s="81"/>
      <c r="AW56" s="81"/>
      <c r="AX56" s="81"/>
      <c r="AY56" s="81"/>
      <c r="AZ56" s="81"/>
      <c r="BA56" s="81"/>
      <c r="BB56" s="81"/>
      <c r="BC56" s="81"/>
      <c r="BD56" s="81"/>
      <c r="BE56" s="87"/>
      <c r="BF56" s="153"/>
    </row>
    <row r="57" spans="2:106" x14ac:dyDescent="0.25">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21"/>
    </row>
    <row r="58" spans="2:106" ht="1.5" customHeight="1" thickBot="1" x14ac:dyDescent="0.3">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F58" s="21"/>
      <c r="CP58" s="12">
        <v>42</v>
      </c>
      <c r="CQ58" s="12">
        <v>43</v>
      </c>
    </row>
    <row r="59" spans="2:106" ht="7.5" customHeight="1" thickTop="1" x14ac:dyDescent="0.25">
      <c r="B59" s="209"/>
      <c r="C59" s="210"/>
      <c r="D59" s="210"/>
      <c r="E59" s="210"/>
      <c r="F59" s="210"/>
      <c r="G59" s="210"/>
      <c r="H59" s="210"/>
      <c r="I59" s="210"/>
      <c r="J59" s="210"/>
      <c r="K59" s="210"/>
      <c r="L59" s="210"/>
      <c r="M59" s="210"/>
      <c r="N59" s="215" t="s">
        <v>18</v>
      </c>
      <c r="O59" s="216"/>
      <c r="P59" s="216"/>
      <c r="Q59" s="216"/>
      <c r="R59" s="216"/>
      <c r="S59" s="216"/>
      <c r="T59" s="216"/>
      <c r="U59" s="216"/>
      <c r="V59" s="216"/>
      <c r="W59" s="216"/>
      <c r="X59" s="216"/>
      <c r="Y59" s="216"/>
      <c r="Z59" s="216"/>
      <c r="AA59" s="216"/>
      <c r="AB59" s="216"/>
      <c r="AC59" s="216"/>
      <c r="AD59" s="216"/>
      <c r="AE59" s="216"/>
      <c r="AF59" s="216"/>
      <c r="AG59" s="216"/>
      <c r="AH59" s="216"/>
      <c r="AI59" s="216"/>
      <c r="AJ59" s="216"/>
      <c r="AK59" s="216"/>
      <c r="AL59" s="216"/>
      <c r="AM59" s="216"/>
      <c r="AN59" s="216"/>
      <c r="AO59" s="217"/>
      <c r="AP59" s="29"/>
      <c r="AQ59" s="29"/>
      <c r="AR59" s="29"/>
      <c r="AS59" s="29"/>
      <c r="AT59" s="30"/>
      <c r="AU59" s="30"/>
      <c r="AV59" s="30"/>
      <c r="AW59" s="30"/>
      <c r="AX59" s="30"/>
      <c r="AY59" s="30"/>
      <c r="AZ59" s="30"/>
      <c r="BA59" s="30"/>
      <c r="BB59" s="30"/>
      <c r="BC59" s="30"/>
      <c r="BD59" s="30"/>
      <c r="BE59" s="31"/>
      <c r="BF59" s="152">
        <f ca="1">NOW()</f>
        <v>43994.534574768521</v>
      </c>
      <c r="BH59" s="163" t="s">
        <v>10</v>
      </c>
      <c r="BI59" s="163"/>
      <c r="BJ59" s="163"/>
      <c r="BK59" s="163"/>
      <c r="BL59" s="163"/>
      <c r="BM59" s="163"/>
      <c r="BN59" s="163"/>
      <c r="BO59" s="163"/>
      <c r="BP59" s="164"/>
      <c r="BY59" s="16"/>
      <c r="BZ59" s="16"/>
      <c r="CA59" s="16"/>
      <c r="CB59" s="16"/>
      <c r="CC59" s="16"/>
      <c r="CD59" s="16"/>
      <c r="CE59" s="16"/>
      <c r="CF59" s="16" t="s">
        <v>4</v>
      </c>
      <c r="CG59" s="60" t="str">
        <f>B64</f>
        <v>Canal de Venda:</v>
      </c>
      <c r="CH59" s="60" t="str">
        <f>B66</f>
        <v>Descrição do Produto:</v>
      </c>
      <c r="CI59" s="60" t="str">
        <f>AC66</f>
        <v>NF de Venda:</v>
      </c>
      <c r="CJ59" s="60" t="str">
        <f>AL66</f>
        <v>Nº Pedido:</v>
      </c>
      <c r="CK59" s="60" t="str">
        <f>AU66</f>
        <v>Data da Solicitação:</v>
      </c>
      <c r="CL59" s="60" t="str">
        <f>B69</f>
        <v>Código do Produto:</v>
      </c>
      <c r="CM59" s="60" t="str">
        <f>R69</f>
        <v>Tamanho:</v>
      </c>
      <c r="CN59" s="60" t="str">
        <f>AE69</f>
        <v>Quantidade:</v>
      </c>
      <c r="CO59" s="60" t="str">
        <f>AR69</f>
        <v>Nome do Cliente:</v>
      </c>
      <c r="CP59" s="16" t="str">
        <f>F78</f>
        <v>Mau uso</v>
      </c>
      <c r="CQ59" s="16" t="str">
        <f>F80</f>
        <v>Lavagem incorreta</v>
      </c>
      <c r="CR59" s="16" t="str">
        <f>F82</f>
        <v>Indícios de uso do produto</v>
      </c>
      <c r="CS59" s="16" t="str">
        <f>F84</f>
        <v>Indícios de avaria na abertura da embalagem</v>
      </c>
      <c r="CT59" s="16" t="str">
        <f>F88</f>
        <v>Produto personalizado</v>
      </c>
      <c r="CU59" s="16" t="str">
        <f>AH78</f>
        <v>Não enviado junto ao produto</v>
      </c>
      <c r="CV59" s="16" t="str">
        <f>AH80</f>
        <v>Indícios de uso do brinde</v>
      </c>
      <c r="CW59" s="16" t="str">
        <f>AH84</f>
        <v>Cliente aceitou a encomenda avariada</v>
      </c>
      <c r="CX59" s="60" t="str">
        <f>B90</f>
        <v>Justificativa (Detalhes da situação, análise e conclusões)</v>
      </c>
      <c r="CY59" s="60" t="str">
        <f>B104</f>
        <v>Destinação:</v>
      </c>
      <c r="CZ59" s="60" t="str">
        <f>B121</f>
        <v>Análise Técnica Efetuada por:</v>
      </c>
      <c r="DA59" s="60" t="str">
        <f>AQ121</f>
        <v>Data:</v>
      </c>
      <c r="DB59" s="17"/>
    </row>
    <row r="60" spans="2:106" ht="19.5" customHeight="1" x14ac:dyDescent="0.25">
      <c r="B60" s="211"/>
      <c r="C60" s="212"/>
      <c r="D60" s="212"/>
      <c r="E60" s="212"/>
      <c r="F60" s="212"/>
      <c r="G60" s="212"/>
      <c r="H60" s="212"/>
      <c r="I60" s="212"/>
      <c r="J60" s="212"/>
      <c r="K60" s="212"/>
      <c r="L60" s="212"/>
      <c r="M60" s="212"/>
      <c r="N60" s="218"/>
      <c r="O60" s="219"/>
      <c r="P60" s="219"/>
      <c r="Q60" s="219"/>
      <c r="R60" s="219"/>
      <c r="S60" s="219"/>
      <c r="T60" s="219"/>
      <c r="U60" s="219"/>
      <c r="V60" s="219"/>
      <c r="W60" s="219"/>
      <c r="X60" s="219"/>
      <c r="Y60" s="219"/>
      <c r="Z60" s="219"/>
      <c r="AA60" s="219"/>
      <c r="AB60" s="219"/>
      <c r="AC60" s="219"/>
      <c r="AD60" s="219"/>
      <c r="AE60" s="219"/>
      <c r="AF60" s="219"/>
      <c r="AG60" s="219"/>
      <c r="AH60" s="219"/>
      <c r="AI60" s="219"/>
      <c r="AJ60" s="219"/>
      <c r="AK60" s="219"/>
      <c r="AL60" s="219"/>
      <c r="AM60" s="219"/>
      <c r="AN60" s="219"/>
      <c r="AO60" s="220"/>
      <c r="AP60" s="224" t="s">
        <v>19</v>
      </c>
      <c r="AQ60" s="224"/>
      <c r="AR60" s="224"/>
      <c r="AS60" s="224"/>
      <c r="AT60" s="224"/>
      <c r="AU60" s="224"/>
      <c r="AV60" s="225">
        <v>43994.533516319447</v>
      </c>
      <c r="AW60" s="225"/>
      <c r="AX60" s="225"/>
      <c r="AY60" s="225"/>
      <c r="AZ60" s="225"/>
      <c r="BA60" s="225"/>
      <c r="BB60" s="225"/>
      <c r="BC60" s="225"/>
      <c r="BD60" s="225"/>
      <c r="BE60" s="32"/>
      <c r="BF60" s="152"/>
      <c r="BH60" s="165"/>
      <c r="BI60" s="165"/>
      <c r="BJ60" s="165"/>
      <c r="BK60" s="165"/>
      <c r="BL60" s="165"/>
      <c r="BM60" s="165"/>
      <c r="BN60" s="165"/>
      <c r="BO60" s="165"/>
      <c r="BP60" s="166"/>
      <c r="BY60" s="16"/>
      <c r="BZ60" s="16"/>
      <c r="CA60" s="16"/>
      <c r="CB60" s="16"/>
      <c r="CC60" s="63">
        <f ca="1">NOW()</f>
        <v>43994.534574768521</v>
      </c>
      <c r="CD60" s="16"/>
      <c r="CE60" s="16"/>
      <c r="CF60" s="16"/>
      <c r="CG60" s="16"/>
      <c r="CH60" s="16"/>
      <c r="CI60" s="16"/>
      <c r="CJ60" s="16"/>
      <c r="CK60" s="16"/>
      <c r="CL60" s="16"/>
      <c r="CM60" s="16"/>
      <c r="CN60" s="16"/>
      <c r="CO60" s="60"/>
      <c r="CP60" s="16"/>
      <c r="CQ60" s="16"/>
      <c r="CR60" s="16"/>
      <c r="CS60" s="16"/>
      <c r="CT60" s="16"/>
      <c r="CU60" s="16"/>
      <c r="CV60" s="16"/>
      <c r="CW60" s="16"/>
      <c r="CX60" s="16"/>
      <c r="CY60" s="16"/>
      <c r="CZ60" s="16"/>
      <c r="DA60" s="16"/>
    </row>
    <row r="61" spans="2:106" ht="7.5" customHeight="1" x14ac:dyDescent="0.25">
      <c r="B61" s="211"/>
      <c r="C61" s="212"/>
      <c r="D61" s="212"/>
      <c r="E61" s="212"/>
      <c r="F61" s="212"/>
      <c r="G61" s="212"/>
      <c r="H61" s="212"/>
      <c r="I61" s="212"/>
      <c r="J61" s="212"/>
      <c r="K61" s="212"/>
      <c r="L61" s="212"/>
      <c r="M61" s="212"/>
      <c r="N61" s="218"/>
      <c r="O61" s="219"/>
      <c r="P61" s="219"/>
      <c r="Q61" s="219"/>
      <c r="R61" s="219"/>
      <c r="S61" s="219"/>
      <c r="T61" s="219"/>
      <c r="U61" s="219"/>
      <c r="V61" s="219"/>
      <c r="W61" s="219"/>
      <c r="X61" s="219"/>
      <c r="Y61" s="219"/>
      <c r="Z61" s="219"/>
      <c r="AA61" s="219"/>
      <c r="AB61" s="219"/>
      <c r="AC61" s="219"/>
      <c r="AD61" s="219"/>
      <c r="AE61" s="219"/>
      <c r="AF61" s="219"/>
      <c r="AG61" s="219"/>
      <c r="AH61" s="219"/>
      <c r="AI61" s="219"/>
      <c r="AJ61" s="219"/>
      <c r="AK61" s="219"/>
      <c r="AL61" s="219"/>
      <c r="AM61" s="219"/>
      <c r="AN61" s="219"/>
      <c r="AO61" s="220"/>
      <c r="AP61" s="33"/>
      <c r="AQ61" s="33"/>
      <c r="AR61" s="33"/>
      <c r="AS61" s="33"/>
      <c r="AT61" s="34"/>
      <c r="AU61" s="34"/>
      <c r="AV61" s="34"/>
      <c r="AW61" s="34"/>
      <c r="AX61" s="34"/>
      <c r="AY61" s="35"/>
      <c r="AZ61" s="35"/>
      <c r="BA61" s="35"/>
      <c r="BB61" s="35"/>
      <c r="BC61" s="35"/>
      <c r="BD61" s="35"/>
      <c r="BE61" s="36"/>
      <c r="BF61" s="152"/>
      <c r="BH61" s="165"/>
      <c r="BI61" s="165"/>
      <c r="BJ61" s="165"/>
      <c r="BK61" s="165"/>
      <c r="BL61" s="165"/>
      <c r="BM61" s="165"/>
      <c r="BN61" s="165"/>
      <c r="BO61" s="165"/>
      <c r="BP61" s="166"/>
      <c r="BY61" s="16"/>
      <c r="BZ61" s="16"/>
      <c r="CA61" s="16"/>
      <c r="CB61" s="16"/>
      <c r="CC61" s="16"/>
      <c r="CD61" s="16" t="str">
        <f>TEXT(AV60,"ddmmaahhmmss")</f>
        <v>120620124816</v>
      </c>
      <c r="CE61" s="16"/>
      <c r="CF61" s="16" t="s">
        <v>73</v>
      </c>
      <c r="CG61" s="75">
        <f>P64</f>
        <v>0</v>
      </c>
      <c r="CH61" s="60">
        <f>B68</f>
        <v>0</v>
      </c>
      <c r="CI61" s="60">
        <f>AC68</f>
        <v>0</v>
      </c>
      <c r="CJ61" s="60">
        <f>AL68</f>
        <v>0</v>
      </c>
      <c r="CK61" s="61">
        <f>AU68</f>
        <v>0</v>
      </c>
      <c r="CL61" s="60">
        <f>B71</f>
        <v>0</v>
      </c>
      <c r="CM61" s="60">
        <f>R71</f>
        <v>0</v>
      </c>
      <c r="CN61" s="60">
        <f>AE71</f>
        <v>0</v>
      </c>
      <c r="CO61" s="60">
        <f>AR71</f>
        <v>0</v>
      </c>
      <c r="CP61" s="60">
        <f>C78</f>
        <v>0</v>
      </c>
      <c r="CQ61" s="60">
        <f>C80</f>
        <v>0</v>
      </c>
      <c r="CR61" s="60">
        <f>C82</f>
        <v>0</v>
      </c>
      <c r="CS61" s="60">
        <f>C84</f>
        <v>0</v>
      </c>
      <c r="CT61" s="60">
        <f>C88</f>
        <v>0</v>
      </c>
      <c r="CU61" s="60">
        <f>AE78</f>
        <v>0</v>
      </c>
      <c r="CV61" s="60">
        <f>AE80</f>
        <v>0</v>
      </c>
      <c r="CW61" s="60">
        <f>AE84</f>
        <v>0</v>
      </c>
      <c r="CX61" s="60" t="str">
        <f>B92</f>
        <v>NÃO DIGITAR - PREENCHIMENTO AUTOMATICO QUANDO O CRITÉRIO FOR SELECIONADO</v>
      </c>
      <c r="CY61" s="60">
        <f>H104</f>
        <v>0</v>
      </c>
      <c r="CZ61" s="60">
        <f>T121</f>
        <v>0</v>
      </c>
      <c r="DA61" s="61">
        <f ca="1">AT121</f>
        <v>43994</v>
      </c>
    </row>
    <row r="62" spans="2:106" ht="7.5" customHeight="1" x14ac:dyDescent="0.25">
      <c r="B62" s="213"/>
      <c r="C62" s="214"/>
      <c r="D62" s="214"/>
      <c r="E62" s="214"/>
      <c r="F62" s="214"/>
      <c r="G62" s="214"/>
      <c r="H62" s="214"/>
      <c r="I62" s="214"/>
      <c r="J62" s="214"/>
      <c r="K62" s="214"/>
      <c r="L62" s="214"/>
      <c r="M62" s="214"/>
      <c r="N62" s="221"/>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3"/>
      <c r="AP62" s="37"/>
      <c r="AQ62" s="37"/>
      <c r="AR62" s="37"/>
      <c r="AS62" s="37"/>
      <c r="AT62" s="38"/>
      <c r="AU62" s="38"/>
      <c r="AV62" s="38"/>
      <c r="AW62" s="38"/>
      <c r="AX62" s="38"/>
      <c r="AY62" s="39"/>
      <c r="AZ62" s="39"/>
      <c r="BA62" s="39"/>
      <c r="BB62" s="39"/>
      <c r="BC62" s="39"/>
      <c r="BD62" s="39"/>
      <c r="BE62" s="40"/>
      <c r="BF62" s="152"/>
      <c r="BH62" s="165"/>
      <c r="BI62" s="165"/>
      <c r="BJ62" s="165"/>
      <c r="BK62" s="165"/>
      <c r="BL62" s="165"/>
      <c r="BM62" s="165"/>
      <c r="BN62" s="165"/>
      <c r="BO62" s="165"/>
      <c r="BP62" s="166"/>
      <c r="BY62" s="16"/>
      <c r="BZ62" s="16"/>
      <c r="CA62" s="16"/>
      <c r="CB62" s="16"/>
      <c r="CC62" s="16"/>
      <c r="CD62" s="16"/>
      <c r="CE62" s="16"/>
      <c r="CF62" s="16"/>
      <c r="CG62" s="16"/>
      <c r="CH62" s="16"/>
      <c r="CI62" s="16"/>
      <c r="CJ62" s="16"/>
      <c r="CK62" s="16"/>
      <c r="CL62" s="16"/>
      <c r="CM62" s="16"/>
      <c r="CN62" s="16"/>
      <c r="CO62" s="16"/>
      <c r="CP62" s="16"/>
      <c r="CQ62" s="16"/>
      <c r="CR62" s="16"/>
      <c r="CS62" s="16"/>
      <c r="CT62" s="16"/>
      <c r="CU62" s="16"/>
    </row>
    <row r="63" spans="2:106" ht="4.5" customHeight="1" x14ac:dyDescent="0.25">
      <c r="B63" s="212"/>
      <c r="C63" s="212"/>
      <c r="D63" s="212"/>
      <c r="E63" s="212"/>
      <c r="F63" s="212"/>
      <c r="G63" s="212"/>
      <c r="H63" s="212"/>
      <c r="I63" s="212"/>
      <c r="J63" s="212"/>
      <c r="K63" s="212"/>
      <c r="L63" s="212"/>
      <c r="M63" s="212"/>
      <c r="N63" s="212"/>
      <c r="O63" s="212"/>
      <c r="P63" s="212"/>
      <c r="Q63" s="212"/>
      <c r="R63" s="212"/>
      <c r="S63" s="212"/>
      <c r="T63" s="212"/>
      <c r="U63" s="212"/>
      <c r="V63" s="212"/>
      <c r="W63" s="212"/>
      <c r="X63" s="212"/>
      <c r="Y63" s="212"/>
      <c r="Z63" s="212"/>
      <c r="AA63" s="212"/>
      <c r="AB63" s="212"/>
      <c r="AC63" s="212"/>
      <c r="AD63" s="212"/>
      <c r="AE63" s="212"/>
      <c r="AF63" s="212"/>
      <c r="AG63" s="212"/>
      <c r="AH63" s="212"/>
      <c r="AI63" s="212"/>
      <c r="AJ63" s="212"/>
      <c r="AK63" s="212"/>
      <c r="AL63" s="212"/>
      <c r="AM63" s="212"/>
      <c r="AN63" s="212"/>
      <c r="AO63" s="212"/>
      <c r="AP63" s="212"/>
      <c r="AQ63" s="212"/>
      <c r="AR63" s="212"/>
      <c r="AS63" s="212"/>
      <c r="AT63" s="212"/>
      <c r="AU63" s="212"/>
      <c r="AV63" s="212"/>
      <c r="AW63" s="212"/>
      <c r="AX63" s="212"/>
      <c r="AY63" s="212"/>
      <c r="AZ63" s="212"/>
      <c r="BA63" s="212"/>
      <c r="BB63" s="212"/>
      <c r="BC63" s="212"/>
      <c r="BD63" s="212"/>
      <c r="BE63" s="212"/>
      <c r="BF63" s="152"/>
      <c r="BH63" s="165"/>
      <c r="BI63" s="165"/>
      <c r="BJ63" s="165"/>
      <c r="BK63" s="165"/>
      <c r="BL63" s="165"/>
      <c r="BM63" s="165"/>
      <c r="BN63" s="165"/>
      <c r="BO63" s="165"/>
      <c r="BP63" s="166"/>
      <c r="BY63" s="16"/>
      <c r="BZ63" s="16"/>
      <c r="CA63" s="16"/>
      <c r="CB63" s="16"/>
      <c r="CC63" s="16"/>
      <c r="CD63" s="16"/>
      <c r="CE63" s="16"/>
      <c r="CF63" s="16"/>
      <c r="CG63" s="16"/>
      <c r="CH63" s="16"/>
      <c r="CI63" s="16"/>
      <c r="CJ63" s="16"/>
      <c r="CK63" s="16"/>
      <c r="CL63" s="16"/>
      <c r="CM63" s="16"/>
      <c r="CN63" s="16"/>
      <c r="CO63" s="16"/>
      <c r="CP63" s="16"/>
      <c r="CQ63" s="16"/>
      <c r="CR63" s="16"/>
      <c r="CS63" s="16"/>
      <c r="CT63" s="16"/>
      <c r="CU63" s="16"/>
    </row>
    <row r="64" spans="2:106" ht="19.5" customHeight="1" x14ac:dyDescent="0.25">
      <c r="B64" s="120" t="s">
        <v>62</v>
      </c>
      <c r="C64" s="120"/>
      <c r="D64" s="120"/>
      <c r="E64" s="120"/>
      <c r="F64" s="120"/>
      <c r="G64" s="120"/>
      <c r="H64" s="120"/>
      <c r="I64" s="120"/>
      <c r="J64" s="120"/>
      <c r="K64" s="120"/>
      <c r="L64" s="120"/>
      <c r="M64" s="120"/>
      <c r="N64" s="120"/>
      <c r="O64" s="120"/>
      <c r="P64" s="226"/>
      <c r="Q64" s="226"/>
      <c r="R64" s="226"/>
      <c r="S64" s="226"/>
      <c r="T64" s="226"/>
      <c r="U64" s="226"/>
      <c r="V64" s="226"/>
      <c r="W64" s="226"/>
      <c r="X64" s="226"/>
      <c r="Y64" s="226"/>
      <c r="Z64" s="226"/>
      <c r="AA64" s="226"/>
      <c r="AB64" s="226"/>
      <c r="AC64" s="226"/>
      <c r="AD64" s="226"/>
      <c r="AE64" s="226"/>
      <c r="AF64" s="226"/>
      <c r="AG64" s="226"/>
      <c r="AH64" s="226"/>
      <c r="AI64" s="226"/>
      <c r="AJ64" s="226"/>
      <c r="AK64" s="226"/>
      <c r="AL64" s="226"/>
      <c r="AM64" s="226"/>
      <c r="AN64" s="226"/>
      <c r="AO64" s="226"/>
      <c r="AP64" s="226"/>
      <c r="AQ64" s="226"/>
      <c r="AR64" s="226"/>
      <c r="AS64" s="226"/>
      <c r="AT64" s="226"/>
      <c r="AU64" s="226"/>
      <c r="AV64" s="226"/>
      <c r="AW64" s="226"/>
      <c r="AX64" s="226"/>
      <c r="AY64" s="226"/>
      <c r="AZ64" s="226"/>
      <c r="BA64" s="226"/>
      <c r="BB64" s="226"/>
      <c r="BC64" s="226"/>
      <c r="BD64" s="226"/>
      <c r="BE64" s="226"/>
      <c r="BF64" s="152"/>
      <c r="BH64" s="165"/>
      <c r="BI64" s="165"/>
      <c r="BJ64" s="165"/>
      <c r="BK64" s="165"/>
      <c r="BL64" s="165"/>
      <c r="BM64" s="165"/>
      <c r="BN64" s="165"/>
      <c r="BO64" s="165"/>
      <c r="BP64" s="166"/>
      <c r="BY64" s="16"/>
      <c r="BZ64" s="16"/>
      <c r="CA64" s="16"/>
      <c r="CB64" s="16"/>
      <c r="CC64" s="16"/>
      <c r="CD64" s="20" t="str">
        <f>CONCATENATE(" - ",CD61)</f>
        <v xml:space="preserve"> - 120620124816</v>
      </c>
      <c r="CE64" s="20"/>
      <c r="CF64" s="20"/>
      <c r="CG64" s="16"/>
      <c r="CH64" s="16"/>
      <c r="CI64" s="16"/>
      <c r="CJ64" s="16"/>
      <c r="CK64" s="16"/>
      <c r="CL64" s="16"/>
      <c r="CM64" s="16"/>
      <c r="CN64" s="16"/>
      <c r="CO64" s="16"/>
      <c r="CP64" s="16"/>
      <c r="CQ64" s="16"/>
      <c r="CR64" s="16"/>
      <c r="CS64" s="16"/>
      <c r="CT64" s="16"/>
      <c r="CU64" s="16"/>
    </row>
    <row r="65" spans="2:99" ht="4.5" customHeight="1" x14ac:dyDescent="0.25">
      <c r="B65" s="212"/>
      <c r="C65" s="212"/>
      <c r="D65" s="212"/>
      <c r="E65" s="212"/>
      <c r="F65" s="212"/>
      <c r="G65" s="212"/>
      <c r="H65" s="212"/>
      <c r="I65" s="212"/>
      <c r="J65" s="212"/>
      <c r="K65" s="212"/>
      <c r="L65" s="212"/>
      <c r="M65" s="212"/>
      <c r="N65" s="212"/>
      <c r="O65" s="212"/>
      <c r="P65" s="212"/>
      <c r="Q65" s="212"/>
      <c r="R65" s="212"/>
      <c r="S65" s="212"/>
      <c r="T65" s="212"/>
      <c r="U65" s="212"/>
      <c r="V65" s="212"/>
      <c r="W65" s="212"/>
      <c r="X65" s="212"/>
      <c r="Y65" s="212"/>
      <c r="Z65" s="212"/>
      <c r="AA65" s="212"/>
      <c r="AB65" s="212"/>
      <c r="AC65" s="212"/>
      <c r="AD65" s="212"/>
      <c r="AE65" s="212"/>
      <c r="AF65" s="212"/>
      <c r="AG65" s="212"/>
      <c r="AH65" s="212"/>
      <c r="AI65" s="212"/>
      <c r="AJ65" s="212"/>
      <c r="AK65" s="212"/>
      <c r="AL65" s="212"/>
      <c r="AM65" s="212"/>
      <c r="AN65" s="212"/>
      <c r="AO65" s="212"/>
      <c r="AP65" s="212"/>
      <c r="AQ65" s="212"/>
      <c r="AR65" s="212"/>
      <c r="AS65" s="212"/>
      <c r="AT65" s="212"/>
      <c r="AU65" s="212"/>
      <c r="AV65" s="212"/>
      <c r="AW65" s="212"/>
      <c r="AX65" s="212"/>
      <c r="AY65" s="212"/>
      <c r="AZ65" s="212"/>
      <c r="BA65" s="212"/>
      <c r="BB65" s="212"/>
      <c r="BC65" s="212"/>
      <c r="BD65" s="212"/>
      <c r="BE65" s="212"/>
      <c r="BF65" s="152"/>
      <c r="BH65" s="165"/>
      <c r="BI65" s="165"/>
      <c r="BJ65" s="165"/>
      <c r="BK65" s="165"/>
      <c r="BL65" s="165"/>
      <c r="BM65" s="165"/>
      <c r="BN65" s="165"/>
      <c r="BO65" s="165"/>
      <c r="BP65" s="166"/>
      <c r="BY65" s="16"/>
      <c r="BZ65" s="16"/>
      <c r="CA65" s="16"/>
      <c r="CB65" s="16"/>
      <c r="CC65" s="16"/>
      <c r="CD65" s="16"/>
      <c r="CE65" s="16"/>
      <c r="CF65" s="16"/>
      <c r="CG65" s="16"/>
      <c r="CH65" s="16"/>
      <c r="CI65" s="16"/>
      <c r="CJ65" s="16"/>
      <c r="CK65" s="16"/>
      <c r="CL65" s="16"/>
      <c r="CM65" s="16"/>
      <c r="CN65" s="16"/>
      <c r="CO65" s="16"/>
      <c r="CP65" s="16"/>
      <c r="CQ65" s="16"/>
      <c r="CR65" s="16"/>
      <c r="CS65" s="16"/>
      <c r="CT65" s="16"/>
      <c r="CU65" s="16"/>
    </row>
    <row r="66" spans="2:99" ht="7.5" customHeight="1" x14ac:dyDescent="0.25">
      <c r="B66" s="135" t="s">
        <v>5</v>
      </c>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7"/>
      <c r="AC66" s="120" t="s">
        <v>21</v>
      </c>
      <c r="AD66" s="120"/>
      <c r="AE66" s="120"/>
      <c r="AF66" s="120"/>
      <c r="AG66" s="120"/>
      <c r="AH66" s="120"/>
      <c r="AI66" s="120"/>
      <c r="AJ66" s="120"/>
      <c r="AK66" s="120"/>
      <c r="AL66" s="120" t="s">
        <v>7</v>
      </c>
      <c r="AM66" s="120"/>
      <c r="AN66" s="120"/>
      <c r="AO66" s="120"/>
      <c r="AP66" s="120"/>
      <c r="AQ66" s="120"/>
      <c r="AR66" s="120"/>
      <c r="AS66" s="120"/>
      <c r="AT66" s="120"/>
      <c r="AU66" s="120" t="s">
        <v>24</v>
      </c>
      <c r="AV66" s="120"/>
      <c r="AW66" s="120"/>
      <c r="AX66" s="120"/>
      <c r="AY66" s="120"/>
      <c r="AZ66" s="120"/>
      <c r="BA66" s="120"/>
      <c r="BB66" s="120"/>
      <c r="BC66" s="120"/>
      <c r="BD66" s="120"/>
      <c r="BE66" s="120"/>
      <c r="BF66" s="152"/>
      <c r="BH66" s="165"/>
      <c r="BI66" s="165"/>
      <c r="BJ66" s="165"/>
      <c r="BK66" s="165"/>
      <c r="BL66" s="165"/>
      <c r="BM66" s="165"/>
      <c r="BN66" s="165"/>
      <c r="BO66" s="165"/>
      <c r="BP66" s="166"/>
      <c r="BY66" s="16"/>
      <c r="BZ66" s="16"/>
      <c r="CA66" s="16"/>
      <c r="CB66" s="16"/>
      <c r="CC66" s="16"/>
      <c r="CD66" s="16"/>
      <c r="CE66" s="16"/>
      <c r="CF66" s="16"/>
      <c r="CG66" s="16"/>
      <c r="CH66" s="16"/>
      <c r="CI66" s="16"/>
      <c r="CJ66" s="16"/>
      <c r="CK66" s="16"/>
      <c r="CL66" s="16"/>
      <c r="CM66" s="16"/>
      <c r="CN66" s="16"/>
      <c r="CO66" s="16"/>
      <c r="CP66" s="16"/>
      <c r="CQ66" s="16"/>
      <c r="CR66" s="16"/>
      <c r="CS66" s="16"/>
      <c r="CT66" s="16"/>
      <c r="CU66" s="16"/>
    </row>
    <row r="67" spans="2:99" ht="7.5" customHeight="1" x14ac:dyDescent="0.25">
      <c r="B67" s="138"/>
      <c r="C67" s="139"/>
      <c r="D67" s="139"/>
      <c r="E67" s="139"/>
      <c r="F67" s="139"/>
      <c r="G67" s="139"/>
      <c r="H67" s="139"/>
      <c r="I67" s="139"/>
      <c r="J67" s="139"/>
      <c r="K67" s="139"/>
      <c r="L67" s="139"/>
      <c r="M67" s="139"/>
      <c r="N67" s="139"/>
      <c r="O67" s="139"/>
      <c r="P67" s="139"/>
      <c r="Q67" s="139"/>
      <c r="R67" s="139"/>
      <c r="S67" s="139"/>
      <c r="T67" s="139"/>
      <c r="U67" s="139"/>
      <c r="V67" s="139"/>
      <c r="W67" s="139"/>
      <c r="X67" s="139"/>
      <c r="Y67" s="139"/>
      <c r="Z67" s="139"/>
      <c r="AA67" s="139"/>
      <c r="AB67" s="14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20"/>
      <c r="AZ67" s="120"/>
      <c r="BA67" s="120"/>
      <c r="BB67" s="120"/>
      <c r="BC67" s="120"/>
      <c r="BD67" s="120"/>
      <c r="BE67" s="120"/>
      <c r="BF67" s="152"/>
      <c r="BH67" s="165"/>
      <c r="BI67" s="165"/>
      <c r="BJ67" s="165"/>
      <c r="BK67" s="165"/>
      <c r="BL67" s="165"/>
      <c r="BM67" s="165"/>
      <c r="BN67" s="165"/>
      <c r="BO67" s="165"/>
      <c r="BP67" s="166"/>
      <c r="BY67" s="16"/>
      <c r="BZ67" s="16"/>
      <c r="CA67" s="16"/>
      <c r="CB67" s="16"/>
      <c r="CC67" s="16"/>
      <c r="CD67" s="16"/>
      <c r="CE67" s="16"/>
      <c r="CF67" s="16"/>
      <c r="CG67" s="16"/>
      <c r="CH67" s="16"/>
      <c r="CI67" s="16"/>
      <c r="CJ67" s="16"/>
      <c r="CK67" s="16"/>
      <c r="CL67" s="16"/>
      <c r="CM67" s="16"/>
      <c r="CN67" s="16"/>
      <c r="CO67" s="16"/>
      <c r="CP67" s="16"/>
      <c r="CQ67" s="16"/>
      <c r="CR67" s="16"/>
      <c r="CS67" s="16"/>
      <c r="CT67" s="16"/>
      <c r="CU67" s="16"/>
    </row>
    <row r="68" spans="2:99" ht="19.5" customHeight="1" x14ac:dyDescent="0.25">
      <c r="B68" s="121"/>
      <c r="C68" s="122"/>
      <c r="D68" s="122"/>
      <c r="E68" s="122"/>
      <c r="F68" s="122"/>
      <c r="G68" s="122"/>
      <c r="H68" s="122"/>
      <c r="I68" s="122"/>
      <c r="J68" s="122"/>
      <c r="K68" s="122"/>
      <c r="L68" s="122"/>
      <c r="M68" s="122"/>
      <c r="N68" s="122"/>
      <c r="O68" s="122"/>
      <c r="P68" s="122"/>
      <c r="Q68" s="122"/>
      <c r="R68" s="122"/>
      <c r="S68" s="122"/>
      <c r="T68" s="122"/>
      <c r="U68" s="122"/>
      <c r="V68" s="122"/>
      <c r="W68" s="122"/>
      <c r="X68" s="122"/>
      <c r="Y68" s="122"/>
      <c r="Z68" s="122"/>
      <c r="AA68" s="122"/>
      <c r="AB68" s="123"/>
      <c r="AC68" s="124"/>
      <c r="AD68" s="125"/>
      <c r="AE68" s="125"/>
      <c r="AF68" s="125"/>
      <c r="AG68" s="125"/>
      <c r="AH68" s="125"/>
      <c r="AI68" s="125"/>
      <c r="AJ68" s="125"/>
      <c r="AK68" s="126"/>
      <c r="AL68" s="121"/>
      <c r="AM68" s="122"/>
      <c r="AN68" s="122"/>
      <c r="AO68" s="122"/>
      <c r="AP68" s="122"/>
      <c r="AQ68" s="122"/>
      <c r="AR68" s="122"/>
      <c r="AS68" s="122"/>
      <c r="AT68" s="123"/>
      <c r="AU68" s="127"/>
      <c r="AV68" s="127"/>
      <c r="AW68" s="127"/>
      <c r="AX68" s="127"/>
      <c r="AY68" s="127"/>
      <c r="AZ68" s="127"/>
      <c r="BA68" s="127"/>
      <c r="BB68" s="127"/>
      <c r="BC68" s="127"/>
      <c r="BD68" s="127"/>
      <c r="BE68" s="127"/>
      <c r="BF68" s="152"/>
      <c r="BH68" s="165"/>
      <c r="BI68" s="165"/>
      <c r="BJ68" s="165"/>
      <c r="BK68" s="165"/>
      <c r="BL68" s="165"/>
      <c r="BM68" s="165"/>
      <c r="BN68" s="165"/>
      <c r="BO68" s="165"/>
      <c r="BP68" s="166"/>
      <c r="BY68" s="16"/>
      <c r="BZ68" s="16"/>
      <c r="CA68" s="16"/>
      <c r="CB68" s="16"/>
      <c r="CC68" s="16"/>
      <c r="CD68" s="18"/>
      <c r="CE68" s="18"/>
      <c r="CF68" s="18"/>
      <c r="CG68" s="18"/>
      <c r="CH68" s="16"/>
      <c r="CI68" s="16"/>
      <c r="CJ68" s="16"/>
      <c r="CK68" s="16"/>
      <c r="CL68" s="16"/>
      <c r="CM68" s="16"/>
      <c r="CN68" s="16"/>
      <c r="CO68" s="16"/>
      <c r="CP68" s="16"/>
      <c r="CQ68" s="16"/>
      <c r="CR68" s="16"/>
      <c r="CS68" s="16"/>
      <c r="CT68" s="16"/>
      <c r="CU68" s="16"/>
    </row>
    <row r="69" spans="2:99" ht="7.5" customHeight="1" x14ac:dyDescent="0.25">
      <c r="B69" s="120" t="s">
        <v>6</v>
      </c>
      <c r="C69" s="120"/>
      <c r="D69" s="120"/>
      <c r="E69" s="120"/>
      <c r="F69" s="120"/>
      <c r="G69" s="120"/>
      <c r="H69" s="120"/>
      <c r="I69" s="120"/>
      <c r="J69" s="120"/>
      <c r="K69" s="120"/>
      <c r="L69" s="120"/>
      <c r="M69" s="120"/>
      <c r="N69" s="120"/>
      <c r="O69" s="120"/>
      <c r="P69" s="120"/>
      <c r="Q69" s="120"/>
      <c r="R69" s="120" t="s">
        <v>22</v>
      </c>
      <c r="S69" s="120"/>
      <c r="T69" s="120"/>
      <c r="U69" s="120"/>
      <c r="V69" s="120"/>
      <c r="W69" s="120"/>
      <c r="X69" s="120"/>
      <c r="Y69" s="120"/>
      <c r="Z69" s="120"/>
      <c r="AA69" s="120"/>
      <c r="AB69" s="120"/>
      <c r="AC69" s="120"/>
      <c r="AD69" s="120"/>
      <c r="AE69" s="120" t="s">
        <v>23</v>
      </c>
      <c r="AF69" s="120"/>
      <c r="AG69" s="120"/>
      <c r="AH69" s="120"/>
      <c r="AI69" s="120"/>
      <c r="AJ69" s="120"/>
      <c r="AK69" s="120"/>
      <c r="AL69" s="120"/>
      <c r="AM69" s="120"/>
      <c r="AN69" s="120"/>
      <c r="AO69" s="120"/>
      <c r="AP69" s="120"/>
      <c r="AQ69" s="120"/>
      <c r="AR69" s="120" t="s">
        <v>74</v>
      </c>
      <c r="AS69" s="120"/>
      <c r="AT69" s="120"/>
      <c r="AU69" s="120"/>
      <c r="AV69" s="120"/>
      <c r="AW69" s="120"/>
      <c r="AX69" s="120"/>
      <c r="AY69" s="120"/>
      <c r="AZ69" s="120"/>
      <c r="BA69" s="120"/>
      <c r="BB69" s="120"/>
      <c r="BC69" s="120"/>
      <c r="BD69" s="120"/>
      <c r="BE69" s="120"/>
      <c r="BF69" s="152"/>
      <c r="BH69" s="165"/>
      <c r="BI69" s="165"/>
      <c r="BJ69" s="165"/>
      <c r="BK69" s="165"/>
      <c r="BL69" s="165"/>
      <c r="BM69" s="165"/>
      <c r="BN69" s="165"/>
      <c r="BO69" s="165"/>
      <c r="BP69" s="166"/>
      <c r="BY69" s="16"/>
      <c r="BZ69" s="16"/>
      <c r="CA69" s="16"/>
      <c r="CB69" s="16"/>
      <c r="CC69" s="16"/>
      <c r="CD69" s="18"/>
      <c r="CE69" s="18"/>
      <c r="CF69" s="18"/>
      <c r="CG69" s="18"/>
      <c r="CH69" s="16"/>
      <c r="CI69" s="16"/>
      <c r="CJ69" s="16"/>
      <c r="CK69" s="16"/>
      <c r="CL69" s="16"/>
      <c r="CM69" s="16"/>
      <c r="CN69" s="16"/>
      <c r="CO69" s="16"/>
      <c r="CP69" s="16"/>
      <c r="CQ69" s="16"/>
      <c r="CR69" s="16"/>
      <c r="CS69" s="16"/>
      <c r="CT69" s="16"/>
      <c r="CU69" s="16"/>
    </row>
    <row r="70" spans="2:99" ht="7.5" customHeight="1" x14ac:dyDescent="0.25">
      <c r="B70" s="120"/>
      <c r="C70" s="120"/>
      <c r="D70" s="120"/>
      <c r="E70" s="120"/>
      <c r="F70" s="120"/>
      <c r="G70" s="120"/>
      <c r="H70" s="120"/>
      <c r="I70" s="120"/>
      <c r="J70" s="120"/>
      <c r="K70" s="120"/>
      <c r="L70" s="120"/>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20"/>
      <c r="AY70" s="120"/>
      <c r="AZ70" s="120"/>
      <c r="BA70" s="120"/>
      <c r="BB70" s="120"/>
      <c r="BC70" s="120"/>
      <c r="BD70" s="120"/>
      <c r="BE70" s="120"/>
      <c r="BF70" s="152"/>
      <c r="BH70" s="165"/>
      <c r="BI70" s="165"/>
      <c r="BJ70" s="165"/>
      <c r="BK70" s="165"/>
      <c r="BL70" s="165"/>
      <c r="BM70" s="165"/>
      <c r="BN70" s="165"/>
      <c r="BO70" s="165"/>
      <c r="BP70" s="166"/>
      <c r="CD70" s="18"/>
      <c r="CE70" s="18"/>
      <c r="CF70" s="18"/>
      <c r="CG70" s="18"/>
      <c r="CH70" s="18"/>
      <c r="CI70" s="28"/>
      <c r="CJ70" s="28"/>
      <c r="CK70" s="28"/>
      <c r="CL70" s="28"/>
      <c r="CM70" s="28"/>
    </row>
    <row r="71" spans="2:99" ht="19.5" customHeight="1" x14ac:dyDescent="0.25">
      <c r="B71" s="145"/>
      <c r="C71" s="145"/>
      <c r="D71" s="145"/>
      <c r="E71" s="145"/>
      <c r="F71" s="145"/>
      <c r="G71" s="145"/>
      <c r="H71" s="145"/>
      <c r="I71" s="145"/>
      <c r="J71" s="145"/>
      <c r="K71" s="145"/>
      <c r="L71" s="145"/>
      <c r="M71" s="145"/>
      <c r="N71" s="145"/>
      <c r="O71" s="145"/>
      <c r="P71" s="145"/>
      <c r="Q71" s="145"/>
      <c r="R71" s="146"/>
      <c r="S71" s="146"/>
      <c r="T71" s="146"/>
      <c r="U71" s="146"/>
      <c r="V71" s="146"/>
      <c r="W71" s="146"/>
      <c r="X71" s="146"/>
      <c r="Y71" s="146"/>
      <c r="Z71" s="146"/>
      <c r="AA71" s="146"/>
      <c r="AB71" s="146"/>
      <c r="AC71" s="146"/>
      <c r="AD71" s="146"/>
      <c r="AE71" s="121"/>
      <c r="AF71" s="122"/>
      <c r="AG71" s="122"/>
      <c r="AH71" s="122"/>
      <c r="AI71" s="122"/>
      <c r="AJ71" s="122"/>
      <c r="AK71" s="122"/>
      <c r="AL71" s="122"/>
      <c r="AM71" s="122"/>
      <c r="AN71" s="122"/>
      <c r="AO71" s="122"/>
      <c r="AP71" s="122"/>
      <c r="AQ71" s="123"/>
      <c r="AR71" s="147"/>
      <c r="AS71" s="147"/>
      <c r="AT71" s="147"/>
      <c r="AU71" s="147"/>
      <c r="AV71" s="147"/>
      <c r="AW71" s="147"/>
      <c r="AX71" s="147"/>
      <c r="AY71" s="147"/>
      <c r="AZ71" s="147"/>
      <c r="BA71" s="147"/>
      <c r="BB71" s="147"/>
      <c r="BC71" s="147"/>
      <c r="BD71" s="147"/>
      <c r="BE71" s="147"/>
      <c r="BF71" s="152"/>
      <c r="BH71" s="165"/>
      <c r="BI71" s="165"/>
      <c r="BJ71" s="165"/>
      <c r="BK71" s="165"/>
      <c r="BL71" s="165"/>
      <c r="BM71" s="165"/>
      <c r="BN71" s="165"/>
      <c r="BO71" s="165"/>
      <c r="BP71" s="166"/>
      <c r="CD71" s="18"/>
      <c r="CE71" s="18"/>
      <c r="CF71" s="18"/>
      <c r="CG71" s="18"/>
      <c r="CH71" s="18"/>
      <c r="CI71" s="28"/>
      <c r="CJ71" s="28"/>
      <c r="CK71" s="28"/>
      <c r="CL71" s="28"/>
      <c r="CM71" s="28"/>
    </row>
    <row r="72" spans="2:99" ht="7.5" customHeight="1" x14ac:dyDescent="0.25">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152"/>
      <c r="BH72" s="165"/>
      <c r="BI72" s="165"/>
      <c r="BJ72" s="165"/>
      <c r="BK72" s="165"/>
      <c r="BL72" s="165"/>
      <c r="BM72" s="165"/>
      <c r="BN72" s="165"/>
      <c r="BO72" s="165"/>
      <c r="BP72" s="166"/>
      <c r="CD72" s="18"/>
      <c r="CE72" s="18"/>
      <c r="CF72" s="18"/>
      <c r="CG72" s="18"/>
      <c r="CH72" s="18"/>
      <c r="CI72" s="28"/>
      <c r="CJ72" s="28"/>
      <c r="CK72" s="28"/>
      <c r="CL72" s="28"/>
      <c r="CM72" s="28"/>
    </row>
    <row r="73" spans="2:99" ht="10.5" customHeight="1" x14ac:dyDescent="0.25">
      <c r="B73" s="135" t="s">
        <v>38</v>
      </c>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c r="AK73" s="136"/>
      <c r="AL73" s="136"/>
      <c r="AM73" s="136"/>
      <c r="AN73" s="136"/>
      <c r="AO73" s="136"/>
      <c r="AP73" s="136"/>
      <c r="AQ73" s="136"/>
      <c r="AR73" s="136"/>
      <c r="AS73" s="136"/>
      <c r="AT73" s="136"/>
      <c r="AU73" s="136"/>
      <c r="AV73" s="136"/>
      <c r="AW73" s="136"/>
      <c r="AX73" s="136"/>
      <c r="AY73" s="136"/>
      <c r="AZ73" s="136"/>
      <c r="BA73" s="136"/>
      <c r="BB73" s="136"/>
      <c r="BC73" s="136"/>
      <c r="BD73" s="136"/>
      <c r="BE73" s="137"/>
      <c r="BF73" s="152"/>
      <c r="BH73" s="165"/>
      <c r="BI73" s="165"/>
      <c r="BJ73" s="165"/>
      <c r="BK73" s="165"/>
      <c r="BL73" s="165"/>
      <c r="BM73" s="165"/>
      <c r="BN73" s="165"/>
      <c r="BO73" s="165"/>
      <c r="BP73" s="166"/>
      <c r="CD73" s="18"/>
      <c r="CE73" s="18"/>
      <c r="CF73" s="18"/>
      <c r="CG73" s="18"/>
      <c r="CH73" s="18"/>
      <c r="CI73" s="28"/>
      <c r="CJ73" s="28"/>
      <c r="CK73" s="28"/>
      <c r="CL73" s="28"/>
      <c r="CM73" s="28"/>
    </row>
    <row r="74" spans="2:99" ht="12" customHeight="1" thickBot="1" x14ac:dyDescent="0.3">
      <c r="B74" s="138"/>
      <c r="C74" s="139"/>
      <c r="D74" s="139"/>
      <c r="E74" s="139"/>
      <c r="F74" s="139"/>
      <c r="G74" s="139"/>
      <c r="H74" s="139"/>
      <c r="I74" s="139"/>
      <c r="J74" s="139"/>
      <c r="K74" s="139"/>
      <c r="L74" s="139"/>
      <c r="M74" s="139"/>
      <c r="N74" s="139"/>
      <c r="O74" s="139"/>
      <c r="P74" s="139"/>
      <c r="Q74" s="139"/>
      <c r="R74" s="139"/>
      <c r="S74" s="139"/>
      <c r="T74" s="139"/>
      <c r="U74" s="139"/>
      <c r="V74" s="139"/>
      <c r="W74" s="139"/>
      <c r="X74" s="139"/>
      <c r="Y74" s="139"/>
      <c r="Z74" s="139"/>
      <c r="AA74" s="139"/>
      <c r="AB74" s="139"/>
      <c r="AC74" s="139"/>
      <c r="AD74" s="139"/>
      <c r="AE74" s="139"/>
      <c r="AF74" s="139"/>
      <c r="AG74" s="139"/>
      <c r="AH74" s="139"/>
      <c r="AI74" s="139"/>
      <c r="AJ74" s="139"/>
      <c r="AK74" s="139"/>
      <c r="AL74" s="139"/>
      <c r="AM74" s="139"/>
      <c r="AN74" s="139"/>
      <c r="AO74" s="139"/>
      <c r="AP74" s="139"/>
      <c r="AQ74" s="139"/>
      <c r="AR74" s="139"/>
      <c r="AS74" s="139"/>
      <c r="AT74" s="139"/>
      <c r="AU74" s="139"/>
      <c r="AV74" s="139"/>
      <c r="AW74" s="139"/>
      <c r="AX74" s="139"/>
      <c r="AY74" s="139"/>
      <c r="AZ74" s="139"/>
      <c r="BA74" s="139"/>
      <c r="BB74" s="139"/>
      <c r="BC74" s="139"/>
      <c r="BD74" s="139"/>
      <c r="BE74" s="140"/>
      <c r="BF74" s="152"/>
      <c r="BH74" s="167"/>
      <c r="BI74" s="167"/>
      <c r="BJ74" s="167"/>
      <c r="BK74" s="167"/>
      <c r="BL74" s="167"/>
      <c r="BM74" s="167"/>
      <c r="BN74" s="167"/>
      <c r="BO74" s="167"/>
      <c r="BP74" s="168"/>
      <c r="CD74" s="18"/>
      <c r="CE74" s="18"/>
      <c r="CF74" s="18"/>
      <c r="CG74" s="18"/>
      <c r="CH74" s="18"/>
      <c r="CI74" s="28"/>
      <c r="CJ74" s="28"/>
      <c r="CK74" s="28"/>
      <c r="CL74" s="28"/>
      <c r="CM74" s="28"/>
    </row>
    <row r="75" spans="2:99" ht="7.5" customHeight="1" thickTop="1" x14ac:dyDescent="0.25">
      <c r="B75" s="42"/>
      <c r="C75" s="43"/>
      <c r="D75" s="43"/>
      <c r="E75" s="43"/>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4"/>
      <c r="BF75" s="152"/>
      <c r="BG75" s="15"/>
      <c r="CD75" s="18"/>
      <c r="CE75" s="18"/>
      <c r="CF75" s="18"/>
      <c r="CG75" s="18"/>
      <c r="CH75" s="18"/>
      <c r="CI75" s="28"/>
      <c r="CJ75" s="28"/>
      <c r="CK75" s="28"/>
      <c r="CL75" s="28"/>
      <c r="CM75" s="28"/>
    </row>
    <row r="76" spans="2:99" ht="15.75" customHeight="1" x14ac:dyDescent="0.25">
      <c r="B76" s="45"/>
      <c r="C76" s="151" t="s">
        <v>25</v>
      </c>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50"/>
      <c r="AC76" s="46"/>
      <c r="AD76" s="46"/>
      <c r="AE76" s="148" t="s">
        <v>31</v>
      </c>
      <c r="AF76" s="149"/>
      <c r="AG76" s="149"/>
      <c r="AH76" s="149"/>
      <c r="AI76" s="149"/>
      <c r="AJ76" s="149"/>
      <c r="AK76" s="149"/>
      <c r="AL76" s="149"/>
      <c r="AM76" s="149"/>
      <c r="AN76" s="149"/>
      <c r="AO76" s="149"/>
      <c r="AP76" s="149"/>
      <c r="AQ76" s="149"/>
      <c r="AR76" s="149"/>
      <c r="AS76" s="149"/>
      <c r="AT76" s="149"/>
      <c r="AU76" s="149"/>
      <c r="AV76" s="149"/>
      <c r="AW76" s="149"/>
      <c r="AX76" s="149"/>
      <c r="AY76" s="149"/>
      <c r="AZ76" s="149"/>
      <c r="BA76" s="149"/>
      <c r="BB76" s="149"/>
      <c r="BC76" s="149"/>
      <c r="BD76" s="150"/>
      <c r="BE76" s="47"/>
      <c r="BF76" s="152"/>
      <c r="BG76" s="15"/>
      <c r="CD76" s="18"/>
      <c r="CE76" s="18"/>
      <c r="CF76" s="18"/>
      <c r="CG76" s="18"/>
      <c r="CH76" s="18"/>
      <c r="CI76" s="28"/>
      <c r="CJ76" s="28"/>
      <c r="CK76" s="28"/>
      <c r="CL76" s="28"/>
      <c r="CM76" s="28"/>
    </row>
    <row r="77" spans="2:99" ht="4.5" customHeight="1" x14ac:dyDescent="0.25">
      <c r="B77" s="45"/>
      <c r="C77" s="48"/>
      <c r="D77" s="48"/>
      <c r="E77" s="48"/>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8"/>
      <c r="AF77" s="49"/>
      <c r="AG77" s="48"/>
      <c r="AH77" s="46"/>
      <c r="AI77" s="46"/>
      <c r="AJ77" s="50"/>
      <c r="AK77" s="50"/>
      <c r="AL77" s="46"/>
      <c r="AM77" s="46"/>
      <c r="AN77" s="46"/>
      <c r="AO77" s="46"/>
      <c r="AP77" s="46"/>
      <c r="AQ77" s="46"/>
      <c r="AR77" s="46"/>
      <c r="AS77" s="46"/>
      <c r="AT77" s="46"/>
      <c r="AU77" s="46"/>
      <c r="AV77" s="46"/>
      <c r="AW77" s="46"/>
      <c r="AX77" s="46"/>
      <c r="AY77" s="46"/>
      <c r="AZ77" s="46"/>
      <c r="BA77" s="46"/>
      <c r="BB77" s="46"/>
      <c r="BC77" s="46"/>
      <c r="BD77" s="46"/>
      <c r="BE77" s="47"/>
      <c r="BF77" s="152"/>
      <c r="BG77" s="15"/>
      <c r="CD77" s="18"/>
      <c r="CE77" s="18"/>
      <c r="CF77" s="18"/>
      <c r="CG77" s="18"/>
      <c r="CH77" s="18"/>
      <c r="CI77" s="28"/>
      <c r="CJ77" s="28"/>
      <c r="CK77" s="28"/>
      <c r="CL77" s="28"/>
      <c r="CM77" s="28"/>
    </row>
    <row r="78" spans="2:99" ht="15.75" customHeight="1" x14ac:dyDescent="0.25">
      <c r="B78" s="45"/>
      <c r="C78" s="141"/>
      <c r="D78" s="142"/>
      <c r="E78" s="50"/>
      <c r="F78" s="134" t="s">
        <v>61</v>
      </c>
      <c r="G78" s="143"/>
      <c r="H78" s="143"/>
      <c r="I78" s="143"/>
      <c r="J78" s="143"/>
      <c r="K78" s="143"/>
      <c r="L78" s="143"/>
      <c r="M78" s="143"/>
      <c r="N78" s="143"/>
      <c r="O78" s="143"/>
      <c r="P78" s="143"/>
      <c r="Q78" s="143"/>
      <c r="R78" s="143"/>
      <c r="S78" s="143"/>
      <c r="T78" s="143"/>
      <c r="U78" s="143"/>
      <c r="V78" s="143"/>
      <c r="W78" s="143"/>
      <c r="X78" s="143"/>
      <c r="Y78" s="143"/>
      <c r="Z78" s="143"/>
      <c r="AA78" s="143"/>
      <c r="AB78" s="143"/>
      <c r="AC78" s="46"/>
      <c r="AD78" s="46"/>
      <c r="AE78" s="141"/>
      <c r="AF78" s="142"/>
      <c r="AG78" s="50"/>
      <c r="AH78" s="134" t="s">
        <v>34</v>
      </c>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46"/>
      <c r="BE78" s="47"/>
      <c r="BF78" s="152"/>
      <c r="BG78" s="15"/>
      <c r="CD78" s="18"/>
      <c r="CE78" s="18"/>
      <c r="CF78" s="18"/>
      <c r="CG78" s="18"/>
      <c r="CH78" s="18"/>
      <c r="CI78" s="28"/>
      <c r="CJ78" s="28"/>
      <c r="CK78" s="28"/>
      <c r="CL78" s="28"/>
      <c r="CM78" s="28"/>
    </row>
    <row r="79" spans="2:99" ht="4.5" customHeight="1" x14ac:dyDescent="0.25">
      <c r="B79" s="45"/>
      <c r="C79" s="52"/>
      <c r="D79" s="52"/>
      <c r="E79" s="50"/>
      <c r="F79" s="51"/>
      <c r="G79" s="46"/>
      <c r="H79" s="46"/>
      <c r="I79" s="46"/>
      <c r="J79" s="46"/>
      <c r="K79" s="46"/>
      <c r="L79" s="46"/>
      <c r="M79" s="46"/>
      <c r="N79" s="46"/>
      <c r="O79" s="46"/>
      <c r="P79" s="46"/>
      <c r="Q79" s="46"/>
      <c r="R79" s="46"/>
      <c r="S79" s="46"/>
      <c r="T79" s="46"/>
      <c r="U79" s="46"/>
      <c r="V79" s="46"/>
      <c r="W79" s="46"/>
      <c r="X79" s="46"/>
      <c r="Y79" s="46"/>
      <c r="Z79" s="46"/>
      <c r="AA79" s="46"/>
      <c r="AB79" s="46"/>
      <c r="AC79" s="46"/>
      <c r="AD79" s="46"/>
      <c r="AE79" s="51"/>
      <c r="AF79" s="53"/>
      <c r="AG79" s="50"/>
      <c r="AH79" s="51"/>
      <c r="AI79" s="46"/>
      <c r="AJ79" s="50"/>
      <c r="AK79" s="50"/>
      <c r="AL79" s="46"/>
      <c r="AM79" s="46"/>
      <c r="AN79" s="46"/>
      <c r="AO79" s="46"/>
      <c r="AP79" s="46"/>
      <c r="AQ79" s="46"/>
      <c r="AR79" s="46"/>
      <c r="AS79" s="46"/>
      <c r="AT79" s="46"/>
      <c r="AU79" s="46"/>
      <c r="AV79" s="46"/>
      <c r="AW79" s="46"/>
      <c r="AX79" s="46"/>
      <c r="AY79" s="46"/>
      <c r="AZ79" s="46"/>
      <c r="BA79" s="46"/>
      <c r="BB79" s="46"/>
      <c r="BC79" s="46"/>
      <c r="BD79" s="46"/>
      <c r="BE79" s="47"/>
      <c r="BF79" s="152"/>
      <c r="BG79" s="15"/>
      <c r="CD79" s="18"/>
      <c r="CE79" s="18"/>
      <c r="CF79" s="18"/>
      <c r="CG79" s="18"/>
      <c r="CH79" s="18"/>
      <c r="CI79" s="28"/>
      <c r="CJ79" s="28"/>
      <c r="CK79" s="28"/>
      <c r="CL79" s="28"/>
      <c r="CM79" s="28"/>
    </row>
    <row r="80" spans="2:99" ht="15.75" customHeight="1" x14ac:dyDescent="0.25">
      <c r="B80" s="45"/>
      <c r="C80" s="141"/>
      <c r="D80" s="142"/>
      <c r="E80" s="50"/>
      <c r="F80" s="134" t="s">
        <v>26</v>
      </c>
      <c r="G80" s="143"/>
      <c r="H80" s="143"/>
      <c r="I80" s="143"/>
      <c r="J80" s="143"/>
      <c r="K80" s="143"/>
      <c r="L80" s="143"/>
      <c r="M80" s="143"/>
      <c r="N80" s="143"/>
      <c r="O80" s="143"/>
      <c r="P80" s="143"/>
      <c r="Q80" s="143"/>
      <c r="R80" s="143"/>
      <c r="S80" s="143"/>
      <c r="T80" s="143"/>
      <c r="U80" s="143"/>
      <c r="V80" s="143"/>
      <c r="W80" s="143"/>
      <c r="X80" s="143"/>
      <c r="Y80" s="143"/>
      <c r="Z80" s="143"/>
      <c r="AA80" s="143"/>
      <c r="AB80" s="143"/>
      <c r="AC80" s="46"/>
      <c r="AD80" s="46"/>
      <c r="AE80" s="141"/>
      <c r="AF80" s="142"/>
      <c r="AG80" s="50"/>
      <c r="AH80" s="134" t="s">
        <v>35</v>
      </c>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46"/>
      <c r="BE80" s="47"/>
      <c r="BF80" s="152"/>
      <c r="BG80" s="15"/>
      <c r="CD80" s="18"/>
      <c r="CE80" s="18"/>
      <c r="CF80" s="18"/>
      <c r="CG80" s="18"/>
      <c r="CH80" s="18"/>
      <c r="CI80" s="28"/>
      <c r="CJ80" s="28"/>
      <c r="CK80" s="28"/>
      <c r="CL80" s="28"/>
      <c r="CM80" s="28"/>
    </row>
    <row r="81" spans="2:91" ht="4.5" customHeight="1" x14ac:dyDescent="0.25">
      <c r="B81" s="45"/>
      <c r="C81" s="52"/>
      <c r="D81" s="52"/>
      <c r="E81" s="50"/>
      <c r="F81" s="51"/>
      <c r="G81" s="46"/>
      <c r="H81" s="46"/>
      <c r="I81" s="46"/>
      <c r="J81" s="46"/>
      <c r="K81" s="46"/>
      <c r="L81" s="46"/>
      <c r="M81" s="46"/>
      <c r="N81" s="46"/>
      <c r="O81" s="46"/>
      <c r="P81" s="46"/>
      <c r="Q81" s="46"/>
      <c r="R81" s="46"/>
      <c r="S81" s="46"/>
      <c r="T81" s="46"/>
      <c r="U81" s="46"/>
      <c r="V81" s="46"/>
      <c r="W81" s="46"/>
      <c r="X81" s="46"/>
      <c r="Y81" s="46"/>
      <c r="Z81" s="46"/>
      <c r="AA81" s="46"/>
      <c r="AB81" s="46"/>
      <c r="AC81" s="46"/>
      <c r="AD81" s="46"/>
      <c r="AE81" s="51"/>
      <c r="AF81" s="53"/>
      <c r="AG81" s="50"/>
      <c r="AH81" s="51"/>
      <c r="AI81" s="46"/>
      <c r="AJ81" s="50"/>
      <c r="AK81" s="50"/>
      <c r="AL81" s="46"/>
      <c r="AM81" s="46"/>
      <c r="AN81" s="46"/>
      <c r="AO81" s="46"/>
      <c r="AP81" s="46"/>
      <c r="AQ81" s="46"/>
      <c r="AR81" s="46"/>
      <c r="AS81" s="46"/>
      <c r="AT81" s="46"/>
      <c r="AU81" s="46"/>
      <c r="AV81" s="46"/>
      <c r="AW81" s="46"/>
      <c r="AX81" s="46"/>
      <c r="AY81" s="46"/>
      <c r="AZ81" s="46"/>
      <c r="BA81" s="46"/>
      <c r="BB81" s="46"/>
      <c r="BC81" s="46"/>
      <c r="BD81" s="46"/>
      <c r="BE81" s="47"/>
      <c r="BF81" s="152"/>
      <c r="BG81" s="15"/>
      <c r="CD81" s="18"/>
      <c r="CE81" s="18"/>
      <c r="CF81" s="18"/>
      <c r="CG81" s="18"/>
      <c r="CH81" s="18"/>
      <c r="CI81" s="28"/>
      <c r="CJ81" s="28"/>
      <c r="CK81" s="28"/>
      <c r="CL81" s="28"/>
      <c r="CM81" s="28"/>
    </row>
    <row r="82" spans="2:91" ht="15.75" customHeight="1" x14ac:dyDescent="0.25">
      <c r="B82" s="45"/>
      <c r="C82" s="141"/>
      <c r="D82" s="142"/>
      <c r="E82" s="50"/>
      <c r="F82" s="134" t="s">
        <v>27</v>
      </c>
      <c r="G82" s="143"/>
      <c r="H82" s="143"/>
      <c r="I82" s="143"/>
      <c r="J82" s="143"/>
      <c r="K82" s="143"/>
      <c r="L82" s="143"/>
      <c r="M82" s="143"/>
      <c r="N82" s="143"/>
      <c r="O82" s="143"/>
      <c r="P82" s="143"/>
      <c r="Q82" s="143"/>
      <c r="R82" s="143"/>
      <c r="S82" s="143"/>
      <c r="T82" s="143"/>
      <c r="U82" s="143"/>
      <c r="V82" s="143"/>
      <c r="W82" s="143"/>
      <c r="X82" s="143"/>
      <c r="Y82" s="143"/>
      <c r="Z82" s="143"/>
      <c r="AA82" s="143"/>
      <c r="AB82" s="143"/>
      <c r="AC82" s="46"/>
      <c r="AD82" s="46"/>
      <c r="AE82" s="148" t="s">
        <v>32</v>
      </c>
      <c r="AF82" s="149"/>
      <c r="AG82" s="149"/>
      <c r="AH82" s="149"/>
      <c r="AI82" s="149"/>
      <c r="AJ82" s="149"/>
      <c r="AK82" s="149"/>
      <c r="AL82" s="149"/>
      <c r="AM82" s="149"/>
      <c r="AN82" s="149"/>
      <c r="AO82" s="149"/>
      <c r="AP82" s="149"/>
      <c r="AQ82" s="149"/>
      <c r="AR82" s="149"/>
      <c r="AS82" s="149"/>
      <c r="AT82" s="149"/>
      <c r="AU82" s="149"/>
      <c r="AV82" s="149"/>
      <c r="AW82" s="149"/>
      <c r="AX82" s="149"/>
      <c r="AY82" s="149"/>
      <c r="AZ82" s="149"/>
      <c r="BA82" s="149"/>
      <c r="BB82" s="149"/>
      <c r="BC82" s="149"/>
      <c r="BD82" s="150"/>
      <c r="BE82" s="47"/>
      <c r="BF82" s="152"/>
      <c r="BG82" s="15"/>
      <c r="CD82" s="18"/>
      <c r="CE82" s="18"/>
      <c r="CF82" s="18"/>
      <c r="CG82" s="18"/>
      <c r="CH82" s="18"/>
      <c r="CI82" s="28"/>
      <c r="CJ82" s="28"/>
      <c r="CK82" s="28"/>
      <c r="CL82" s="28"/>
      <c r="CM82" s="28"/>
    </row>
    <row r="83" spans="2:91" ht="4.5" customHeight="1" x14ac:dyDescent="0.25">
      <c r="B83" s="45"/>
      <c r="C83" s="52"/>
      <c r="D83" s="52"/>
      <c r="E83" s="50"/>
      <c r="F83" s="51"/>
      <c r="G83" s="46"/>
      <c r="H83" s="46"/>
      <c r="I83" s="46"/>
      <c r="J83" s="46"/>
      <c r="K83" s="46"/>
      <c r="L83" s="46"/>
      <c r="M83" s="46"/>
      <c r="N83" s="46"/>
      <c r="O83" s="46"/>
      <c r="P83" s="46"/>
      <c r="Q83" s="46"/>
      <c r="R83" s="46"/>
      <c r="S83" s="46"/>
      <c r="T83" s="46"/>
      <c r="U83" s="46"/>
      <c r="V83" s="46"/>
      <c r="W83" s="46"/>
      <c r="X83" s="46"/>
      <c r="Y83" s="46"/>
      <c r="Z83" s="46"/>
      <c r="AA83" s="46"/>
      <c r="AB83" s="46"/>
      <c r="AC83" s="46"/>
      <c r="AD83" s="46"/>
      <c r="AE83" s="48"/>
      <c r="AF83" s="48"/>
      <c r="AG83" s="50"/>
      <c r="AH83" s="48"/>
      <c r="AI83" s="46"/>
      <c r="AJ83" s="46"/>
      <c r="AK83" s="46"/>
      <c r="AL83" s="46"/>
      <c r="AM83" s="46"/>
      <c r="AN83" s="46"/>
      <c r="AO83" s="46"/>
      <c r="AP83" s="46"/>
      <c r="AQ83" s="46"/>
      <c r="AR83" s="46"/>
      <c r="AS83" s="46"/>
      <c r="AT83" s="46"/>
      <c r="AU83" s="46"/>
      <c r="AV83" s="46"/>
      <c r="AW83" s="46"/>
      <c r="AX83" s="46"/>
      <c r="AY83" s="46"/>
      <c r="AZ83" s="46"/>
      <c r="BA83" s="46"/>
      <c r="BB83" s="46"/>
      <c r="BC83" s="46"/>
      <c r="BD83" s="46"/>
      <c r="BE83" s="47"/>
      <c r="BF83" s="152"/>
      <c r="BG83" s="15"/>
      <c r="CD83" s="18"/>
      <c r="CE83" s="18"/>
      <c r="CF83" s="18"/>
      <c r="CG83" s="18"/>
      <c r="CH83" s="18"/>
      <c r="CI83" s="28"/>
      <c r="CJ83" s="28"/>
      <c r="CK83" s="28"/>
      <c r="CL83" s="28"/>
      <c r="CM83" s="28"/>
    </row>
    <row r="84" spans="2:91" ht="15.75" customHeight="1" x14ac:dyDescent="0.25">
      <c r="B84" s="45"/>
      <c r="C84" s="141"/>
      <c r="D84" s="142"/>
      <c r="E84" s="50"/>
      <c r="F84" s="134" t="s">
        <v>28</v>
      </c>
      <c r="G84" s="143"/>
      <c r="H84" s="143"/>
      <c r="I84" s="143"/>
      <c r="J84" s="143"/>
      <c r="K84" s="143"/>
      <c r="L84" s="143"/>
      <c r="M84" s="143"/>
      <c r="N84" s="143"/>
      <c r="O84" s="143"/>
      <c r="P84" s="143"/>
      <c r="Q84" s="143"/>
      <c r="R84" s="143"/>
      <c r="S84" s="143"/>
      <c r="T84" s="143"/>
      <c r="U84" s="143"/>
      <c r="V84" s="143"/>
      <c r="W84" s="143"/>
      <c r="X84" s="143"/>
      <c r="Y84" s="143"/>
      <c r="Z84" s="143"/>
      <c r="AA84" s="143"/>
      <c r="AB84" s="143"/>
      <c r="AC84" s="46"/>
      <c r="AD84" s="46"/>
      <c r="AE84" s="141"/>
      <c r="AF84" s="142"/>
      <c r="AG84" s="50"/>
      <c r="AH84" s="134" t="s">
        <v>33</v>
      </c>
      <c r="AI84" s="134"/>
      <c r="AJ84" s="134"/>
      <c r="AK84" s="134"/>
      <c r="AL84" s="134"/>
      <c r="AM84" s="134"/>
      <c r="AN84" s="134"/>
      <c r="AO84" s="134"/>
      <c r="AP84" s="134"/>
      <c r="AQ84" s="134"/>
      <c r="AR84" s="134"/>
      <c r="AS84" s="134"/>
      <c r="AT84" s="134"/>
      <c r="AU84" s="134"/>
      <c r="AV84" s="134"/>
      <c r="AW84" s="134"/>
      <c r="AX84" s="134"/>
      <c r="AY84" s="134"/>
      <c r="AZ84" s="134"/>
      <c r="BA84" s="134"/>
      <c r="BB84" s="134"/>
      <c r="BC84" s="134"/>
      <c r="BD84" s="134"/>
      <c r="BE84" s="47"/>
      <c r="BF84" s="144" t="str">
        <f>CONCATENATE("Este documento foi gerado eletronicamente por ",T121," em")</f>
        <v>Este documento foi gerado eletronicamente por  em</v>
      </c>
      <c r="BG84" s="15"/>
      <c r="CD84" s="18"/>
      <c r="CE84" s="18"/>
      <c r="CF84" s="18"/>
      <c r="CG84" s="18"/>
      <c r="CH84" s="18"/>
      <c r="CI84" s="28"/>
      <c r="CJ84" s="28"/>
      <c r="CK84" s="28"/>
      <c r="CL84" s="28"/>
      <c r="CM84" s="28"/>
    </row>
    <row r="85" spans="2:91" ht="7.5" customHeight="1" x14ac:dyDescent="0.25">
      <c r="B85" s="45"/>
      <c r="C85" s="52"/>
      <c r="D85" s="52"/>
      <c r="E85" s="50"/>
      <c r="F85" s="52"/>
      <c r="G85" s="46"/>
      <c r="H85" s="46"/>
      <c r="I85" s="46"/>
      <c r="J85" s="46"/>
      <c r="K85" s="46"/>
      <c r="L85" s="46"/>
      <c r="M85" s="46"/>
      <c r="N85" s="46"/>
      <c r="O85" s="46"/>
      <c r="P85" s="46"/>
      <c r="Q85" s="46"/>
      <c r="R85" s="46"/>
      <c r="S85" s="46"/>
      <c r="T85" s="46"/>
      <c r="U85" s="46"/>
      <c r="V85" s="46"/>
      <c r="W85" s="46"/>
      <c r="X85" s="46"/>
      <c r="Y85" s="46"/>
      <c r="Z85" s="46"/>
      <c r="AA85" s="46"/>
      <c r="AB85" s="46"/>
      <c r="AC85" s="46"/>
      <c r="AD85" s="46"/>
      <c r="AE85" s="51"/>
      <c r="AF85" s="53"/>
      <c r="AG85" s="50"/>
      <c r="AH85" s="51"/>
      <c r="AI85" s="46"/>
      <c r="AJ85" s="50"/>
      <c r="AK85" s="50"/>
      <c r="AL85" s="46"/>
      <c r="AM85" s="46"/>
      <c r="AN85" s="46"/>
      <c r="AO85" s="46"/>
      <c r="AP85" s="46"/>
      <c r="AQ85" s="46"/>
      <c r="AR85" s="46"/>
      <c r="AS85" s="46"/>
      <c r="AT85" s="46"/>
      <c r="AU85" s="46"/>
      <c r="AV85" s="46"/>
      <c r="AW85" s="46"/>
      <c r="AX85" s="46"/>
      <c r="AY85" s="46"/>
      <c r="AZ85" s="46"/>
      <c r="BA85" s="46"/>
      <c r="BB85" s="46"/>
      <c r="BC85" s="46"/>
      <c r="BD85" s="46"/>
      <c r="BE85" s="47"/>
      <c r="BF85" s="144"/>
      <c r="BG85" s="15"/>
      <c r="CD85" s="18"/>
      <c r="CE85" s="18"/>
      <c r="CF85" s="18"/>
      <c r="CG85" s="18"/>
      <c r="CH85" s="18"/>
      <c r="CI85" s="28"/>
      <c r="CJ85" s="28"/>
      <c r="CK85" s="28"/>
      <c r="CL85" s="28"/>
      <c r="CM85" s="28"/>
    </row>
    <row r="86" spans="2:91" ht="15.75" customHeight="1" x14ac:dyDescent="0.25">
      <c r="B86" s="45"/>
      <c r="C86" s="148" t="s">
        <v>29</v>
      </c>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50"/>
      <c r="AC86" s="46"/>
      <c r="AD86" s="46"/>
      <c r="AE86" s="148" t="s">
        <v>105</v>
      </c>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50"/>
      <c r="BE86" s="47"/>
      <c r="BF86" s="144"/>
      <c r="BG86" s="15"/>
      <c r="CD86" s="18"/>
      <c r="CE86" s="18"/>
      <c r="CF86" s="18"/>
      <c r="CG86" s="18"/>
      <c r="CH86" s="18"/>
      <c r="CI86" s="28"/>
      <c r="CJ86" s="28"/>
      <c r="CK86" s="28"/>
      <c r="CL86" s="28"/>
      <c r="CM86" s="28"/>
    </row>
    <row r="87" spans="2:91" ht="4.5" customHeight="1" x14ac:dyDescent="0.25">
      <c r="B87" s="45"/>
      <c r="C87" s="52"/>
      <c r="D87" s="52"/>
      <c r="E87" s="50"/>
      <c r="F87" s="48"/>
      <c r="G87" s="46"/>
      <c r="H87" s="46"/>
      <c r="I87" s="46"/>
      <c r="J87" s="46"/>
      <c r="K87" s="46"/>
      <c r="L87" s="46"/>
      <c r="M87" s="46"/>
      <c r="N87" s="46"/>
      <c r="O87" s="46"/>
      <c r="P87" s="46"/>
      <c r="Q87" s="46"/>
      <c r="R87" s="46"/>
      <c r="S87" s="46"/>
      <c r="T87" s="46"/>
      <c r="U87" s="46"/>
      <c r="V87" s="46"/>
      <c r="W87" s="46"/>
      <c r="X87" s="46"/>
      <c r="Y87" s="46"/>
      <c r="Z87" s="46"/>
      <c r="AA87" s="46"/>
      <c r="AB87" s="46"/>
      <c r="AC87" s="46"/>
      <c r="AD87" s="46"/>
      <c r="AE87" s="48"/>
      <c r="AF87" s="48"/>
      <c r="AG87" s="50"/>
      <c r="AH87" s="48"/>
      <c r="AI87" s="46"/>
      <c r="AJ87" s="46"/>
      <c r="AK87" s="46"/>
      <c r="AL87" s="46"/>
      <c r="AM87" s="46"/>
      <c r="AN87" s="46"/>
      <c r="AO87" s="46"/>
      <c r="AP87" s="46"/>
      <c r="AQ87" s="46"/>
      <c r="AR87" s="46"/>
      <c r="AS87" s="46"/>
      <c r="AT87" s="46"/>
      <c r="AU87" s="46"/>
      <c r="AV87" s="46"/>
      <c r="AW87" s="46"/>
      <c r="AX87" s="46"/>
      <c r="AY87" s="46"/>
      <c r="AZ87" s="46"/>
      <c r="BA87" s="46"/>
      <c r="BB87" s="46"/>
      <c r="BC87" s="46"/>
      <c r="BD87" s="46"/>
      <c r="BE87" s="47"/>
      <c r="BF87" s="144"/>
      <c r="BG87" s="15"/>
      <c r="CD87" s="18"/>
      <c r="CE87" s="18"/>
      <c r="CF87" s="18"/>
      <c r="CG87" s="18"/>
      <c r="CH87" s="18"/>
      <c r="CI87" s="28"/>
      <c r="CJ87" s="28"/>
      <c r="CK87" s="28"/>
      <c r="CL87" s="28"/>
      <c r="CM87" s="28"/>
    </row>
    <row r="88" spans="2:91" ht="15.75" customHeight="1" x14ac:dyDescent="0.25">
      <c r="B88" s="45"/>
      <c r="C88" s="141"/>
      <c r="D88" s="142"/>
      <c r="E88" s="50"/>
      <c r="F88" s="134" t="s">
        <v>30</v>
      </c>
      <c r="G88" s="143"/>
      <c r="H88" s="143"/>
      <c r="I88" s="143"/>
      <c r="J88" s="143"/>
      <c r="K88" s="143"/>
      <c r="L88" s="143"/>
      <c r="M88" s="143"/>
      <c r="N88" s="143"/>
      <c r="O88" s="143"/>
      <c r="P88" s="143"/>
      <c r="Q88" s="143"/>
      <c r="R88" s="143"/>
      <c r="S88" s="143"/>
      <c r="T88" s="143"/>
      <c r="U88" s="143"/>
      <c r="V88" s="143"/>
      <c r="W88" s="143"/>
      <c r="X88" s="143"/>
      <c r="Y88" s="143"/>
      <c r="Z88" s="143"/>
      <c r="AA88" s="143"/>
      <c r="AB88" s="143"/>
      <c r="AC88" s="46"/>
      <c r="AD88" s="46"/>
      <c r="AE88" s="141"/>
      <c r="AF88" s="142"/>
      <c r="AG88" s="50"/>
      <c r="AH88" s="134" t="s">
        <v>107</v>
      </c>
      <c r="AI88" s="134"/>
      <c r="AJ88" s="134"/>
      <c r="AK88" s="134"/>
      <c r="AL88" s="134"/>
      <c r="AM88" s="134"/>
      <c r="AN88" s="134"/>
      <c r="AO88" s="134"/>
      <c r="AP88" s="134"/>
      <c r="AQ88" s="134"/>
      <c r="AR88" s="134"/>
      <c r="AS88" s="134"/>
      <c r="AT88" s="134"/>
      <c r="AU88" s="134"/>
      <c r="AV88" s="134"/>
      <c r="AW88" s="134"/>
      <c r="AX88" s="134"/>
      <c r="AY88" s="134"/>
      <c r="AZ88" s="134"/>
      <c r="BA88" s="134"/>
      <c r="BB88" s="134"/>
      <c r="BC88" s="134"/>
      <c r="BD88" s="134"/>
      <c r="BE88" s="47"/>
      <c r="BF88" s="144"/>
      <c r="BG88" s="15"/>
      <c r="CD88" s="18"/>
      <c r="CE88" s="18"/>
      <c r="CF88" s="18"/>
      <c r="CG88" s="18"/>
      <c r="CH88" s="18"/>
      <c r="CI88" s="28"/>
      <c r="CJ88" s="28"/>
      <c r="CK88" s="28"/>
      <c r="CL88" s="28"/>
      <c r="CM88" s="28"/>
    </row>
    <row r="89" spans="2:91" ht="4.5" customHeight="1" x14ac:dyDescent="0.25">
      <c r="B89" s="45"/>
      <c r="C89" s="52"/>
      <c r="D89" s="52"/>
      <c r="E89" s="50"/>
      <c r="F89" s="51"/>
      <c r="G89" s="46"/>
      <c r="H89" s="46"/>
      <c r="I89" s="46"/>
      <c r="J89" s="46"/>
      <c r="K89" s="46"/>
      <c r="L89" s="46"/>
      <c r="M89" s="46"/>
      <c r="N89" s="46"/>
      <c r="O89" s="46"/>
      <c r="P89" s="46"/>
      <c r="Q89" s="46"/>
      <c r="R89" s="46"/>
      <c r="S89" s="46"/>
      <c r="T89" s="46"/>
      <c r="U89" s="46"/>
      <c r="V89" s="46"/>
      <c r="W89" s="46"/>
      <c r="X89" s="46"/>
      <c r="Y89" s="46"/>
      <c r="Z89" s="46"/>
      <c r="AA89" s="46"/>
      <c r="AB89" s="46"/>
      <c r="AC89" s="46"/>
      <c r="AD89" s="46"/>
      <c r="AE89" s="54"/>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47"/>
      <c r="BF89" s="144"/>
      <c r="BG89" s="15"/>
      <c r="CD89" s="18"/>
      <c r="CE89" s="18"/>
      <c r="CF89" s="18"/>
      <c r="CG89" s="18"/>
      <c r="CH89" s="18"/>
      <c r="CI89" s="28"/>
      <c r="CJ89" s="28"/>
      <c r="CK89" s="28"/>
      <c r="CL89" s="28"/>
      <c r="CM89" s="28"/>
    </row>
    <row r="90" spans="2:91" ht="7.5" customHeight="1" x14ac:dyDescent="0.25">
      <c r="B90" s="135" t="s">
        <v>39</v>
      </c>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c r="AK90" s="136"/>
      <c r="AL90" s="136"/>
      <c r="AM90" s="136"/>
      <c r="AN90" s="136"/>
      <c r="AO90" s="136"/>
      <c r="AP90" s="136"/>
      <c r="AQ90" s="136"/>
      <c r="AR90" s="136"/>
      <c r="AS90" s="136"/>
      <c r="AT90" s="136"/>
      <c r="AU90" s="136"/>
      <c r="AV90" s="136"/>
      <c r="AW90" s="136"/>
      <c r="AX90" s="136"/>
      <c r="AY90" s="136"/>
      <c r="AZ90" s="136"/>
      <c r="BA90" s="136"/>
      <c r="BB90" s="136"/>
      <c r="BC90" s="136"/>
      <c r="BD90" s="136"/>
      <c r="BE90" s="137"/>
      <c r="BF90" s="144"/>
      <c r="BG90" s="15"/>
      <c r="CD90" s="18"/>
      <c r="CE90" s="18"/>
      <c r="CF90" s="18"/>
      <c r="CG90" s="18"/>
      <c r="CH90" s="18"/>
      <c r="CI90" s="28"/>
      <c r="CJ90" s="28"/>
      <c r="CK90" s="28"/>
      <c r="CL90" s="28"/>
      <c r="CM90" s="28"/>
    </row>
    <row r="91" spans="2:91" ht="7.5" customHeight="1" x14ac:dyDescent="0.25">
      <c r="B91" s="138"/>
      <c r="C91" s="139"/>
      <c r="D91" s="139"/>
      <c r="E91" s="139"/>
      <c r="F91" s="139"/>
      <c r="G91" s="139"/>
      <c r="H91" s="139"/>
      <c r="I91" s="139"/>
      <c r="J91" s="139"/>
      <c r="K91" s="139"/>
      <c r="L91" s="139"/>
      <c r="M91" s="139"/>
      <c r="N91" s="139"/>
      <c r="O91" s="139"/>
      <c r="P91" s="139"/>
      <c r="Q91" s="139"/>
      <c r="R91" s="139"/>
      <c r="S91" s="139"/>
      <c r="T91" s="139"/>
      <c r="U91" s="139"/>
      <c r="V91" s="139"/>
      <c r="W91" s="139"/>
      <c r="X91" s="139"/>
      <c r="Y91" s="139"/>
      <c r="Z91" s="139"/>
      <c r="AA91" s="139"/>
      <c r="AB91" s="139"/>
      <c r="AC91" s="139"/>
      <c r="AD91" s="139"/>
      <c r="AE91" s="139"/>
      <c r="AF91" s="139"/>
      <c r="AG91" s="139"/>
      <c r="AH91" s="139"/>
      <c r="AI91" s="139"/>
      <c r="AJ91" s="139"/>
      <c r="AK91" s="139"/>
      <c r="AL91" s="139"/>
      <c r="AM91" s="139"/>
      <c r="AN91" s="139"/>
      <c r="AO91" s="139"/>
      <c r="AP91" s="139"/>
      <c r="AQ91" s="139"/>
      <c r="AR91" s="139"/>
      <c r="AS91" s="139"/>
      <c r="AT91" s="139"/>
      <c r="AU91" s="139"/>
      <c r="AV91" s="139"/>
      <c r="AW91" s="139"/>
      <c r="AX91" s="139"/>
      <c r="AY91" s="139"/>
      <c r="AZ91" s="139"/>
      <c r="BA91" s="139"/>
      <c r="BB91" s="139"/>
      <c r="BC91" s="139"/>
      <c r="BD91" s="139"/>
      <c r="BE91" s="140"/>
      <c r="BF91" s="144"/>
      <c r="BG91" s="15"/>
      <c r="CD91" s="18"/>
      <c r="CE91" s="18"/>
      <c r="CF91" s="18"/>
      <c r="CG91" s="18"/>
      <c r="CH91" s="18"/>
      <c r="CI91" s="28"/>
      <c r="CJ91" s="28"/>
      <c r="CK91" s="28"/>
      <c r="CL91" s="28"/>
      <c r="CM91" s="28"/>
    </row>
    <row r="92" spans="2:91" ht="13.5" customHeight="1" x14ac:dyDescent="0.25">
      <c r="B92" s="128" t="str">
        <f>IF(C78&gt;0,CONTROLE!N3,IF(C80&gt;0,CONTROLE!O3,IF(C82&gt;0,CONTROLE!P3,IF(C84&gt;0,CONTROLE!Q3,IF(C88&gt;0,CONTROLE!R3,IF(AE78&gt;0,CONTROLE!S3,IF(AE80&gt;0,CONTROLE!T3,IF(AE84&gt;0,CONTROLE!U3,IF(AE88&gt;0,CONTROLE!V3,"NÃO DIGITAR - PREENCHIMENTO AUTOMATICO QUANDO O CRITÉRIO FOR SELECIONADO")))))))))</f>
        <v>NÃO DIGITAR - PREENCHIMENTO AUTOMATICO QUANDO O CRITÉRIO FOR SELECIONADO</v>
      </c>
      <c r="C92" s="129"/>
      <c r="D92" s="129"/>
      <c r="E92" s="129"/>
      <c r="F92" s="129"/>
      <c r="G92" s="129"/>
      <c r="H92" s="129"/>
      <c r="I92" s="129"/>
      <c r="J92" s="129"/>
      <c r="K92" s="129"/>
      <c r="L92" s="129"/>
      <c r="M92" s="129"/>
      <c r="N92" s="129"/>
      <c r="O92" s="129"/>
      <c r="P92" s="129"/>
      <c r="Q92" s="129"/>
      <c r="R92" s="129"/>
      <c r="S92" s="129"/>
      <c r="T92" s="129"/>
      <c r="U92" s="129"/>
      <c r="V92" s="129"/>
      <c r="W92" s="129"/>
      <c r="X92" s="129"/>
      <c r="Y92" s="129"/>
      <c r="Z92" s="129"/>
      <c r="AA92" s="129"/>
      <c r="AB92" s="129"/>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c r="BC92" s="129"/>
      <c r="BD92" s="129"/>
      <c r="BE92" s="130"/>
      <c r="BF92" s="144"/>
      <c r="BG92" s="15"/>
      <c r="CD92" s="18"/>
      <c r="CE92" s="18"/>
      <c r="CF92" s="18"/>
      <c r="CG92" s="18"/>
      <c r="CH92" s="18"/>
      <c r="CI92" s="28"/>
      <c r="CJ92" s="28"/>
      <c r="CK92" s="28"/>
      <c r="CL92" s="28"/>
      <c r="CM92" s="28"/>
    </row>
    <row r="93" spans="2:91" ht="13.5" customHeight="1" x14ac:dyDescent="0.25">
      <c r="B93" s="131"/>
      <c r="C93" s="132"/>
      <c r="D93" s="132"/>
      <c r="E93" s="132"/>
      <c r="F93" s="132"/>
      <c r="G93" s="132"/>
      <c r="H93" s="132"/>
      <c r="I93" s="132"/>
      <c r="J93" s="132"/>
      <c r="K93" s="132"/>
      <c r="L93" s="132"/>
      <c r="M93" s="132"/>
      <c r="N93" s="132"/>
      <c r="O93" s="132"/>
      <c r="P93" s="132"/>
      <c r="Q93" s="132"/>
      <c r="R93" s="132"/>
      <c r="S93" s="132"/>
      <c r="T93" s="132"/>
      <c r="U93" s="132"/>
      <c r="V93" s="132"/>
      <c r="W93" s="132"/>
      <c r="X93" s="132"/>
      <c r="Y93" s="132"/>
      <c r="Z93" s="132"/>
      <c r="AA93" s="132"/>
      <c r="AB93" s="132"/>
      <c r="AC93" s="132"/>
      <c r="AD93" s="132"/>
      <c r="AE93" s="132"/>
      <c r="AF93" s="132"/>
      <c r="AG93" s="132"/>
      <c r="AH93" s="132"/>
      <c r="AI93" s="132"/>
      <c r="AJ93" s="132"/>
      <c r="AK93" s="132"/>
      <c r="AL93" s="132"/>
      <c r="AM93" s="132"/>
      <c r="AN93" s="132"/>
      <c r="AO93" s="132"/>
      <c r="AP93" s="132"/>
      <c r="AQ93" s="132"/>
      <c r="AR93" s="132"/>
      <c r="AS93" s="132"/>
      <c r="AT93" s="132"/>
      <c r="AU93" s="132"/>
      <c r="AV93" s="132"/>
      <c r="AW93" s="132"/>
      <c r="AX93" s="132"/>
      <c r="AY93" s="132"/>
      <c r="AZ93" s="132"/>
      <c r="BA93" s="132"/>
      <c r="BB93" s="132"/>
      <c r="BC93" s="132"/>
      <c r="BD93" s="132"/>
      <c r="BE93" s="133"/>
      <c r="BF93" s="144"/>
      <c r="BG93" s="15"/>
      <c r="CD93" s="18"/>
      <c r="CE93" s="18"/>
      <c r="CF93" s="18"/>
      <c r="CG93" s="18"/>
      <c r="CH93" s="18"/>
      <c r="CI93" s="28"/>
      <c r="CJ93" s="28"/>
      <c r="CK93" s="28"/>
      <c r="CL93" s="28"/>
      <c r="CM93" s="28"/>
    </row>
    <row r="94" spans="2:91" ht="13.5" customHeight="1" x14ac:dyDescent="0.25">
      <c r="B94" s="131"/>
      <c r="C94" s="132"/>
      <c r="D94" s="132"/>
      <c r="E94" s="132"/>
      <c r="F94" s="132"/>
      <c r="G94" s="132"/>
      <c r="H94" s="132"/>
      <c r="I94" s="132"/>
      <c r="J94" s="132"/>
      <c r="K94" s="132"/>
      <c r="L94" s="132"/>
      <c r="M94" s="132"/>
      <c r="N94" s="132"/>
      <c r="O94" s="132"/>
      <c r="P94" s="132"/>
      <c r="Q94" s="132"/>
      <c r="R94" s="132"/>
      <c r="S94" s="132"/>
      <c r="T94" s="132"/>
      <c r="U94" s="132"/>
      <c r="V94" s="132"/>
      <c r="W94" s="132"/>
      <c r="X94" s="132"/>
      <c r="Y94" s="132"/>
      <c r="Z94" s="132"/>
      <c r="AA94" s="132"/>
      <c r="AB94" s="132"/>
      <c r="AC94" s="132"/>
      <c r="AD94" s="132"/>
      <c r="AE94" s="132"/>
      <c r="AF94" s="132"/>
      <c r="AG94" s="132"/>
      <c r="AH94" s="132"/>
      <c r="AI94" s="132"/>
      <c r="AJ94" s="132"/>
      <c r="AK94" s="132"/>
      <c r="AL94" s="132"/>
      <c r="AM94" s="132"/>
      <c r="AN94" s="132"/>
      <c r="AO94" s="132"/>
      <c r="AP94" s="132"/>
      <c r="AQ94" s="132"/>
      <c r="AR94" s="132"/>
      <c r="AS94" s="132"/>
      <c r="AT94" s="132"/>
      <c r="AU94" s="132"/>
      <c r="AV94" s="132"/>
      <c r="AW94" s="132"/>
      <c r="AX94" s="132"/>
      <c r="AY94" s="132"/>
      <c r="AZ94" s="132"/>
      <c r="BA94" s="132"/>
      <c r="BB94" s="132"/>
      <c r="BC94" s="132"/>
      <c r="BD94" s="132"/>
      <c r="BE94" s="133"/>
      <c r="BF94" s="144"/>
      <c r="BG94" s="15"/>
      <c r="CD94" s="18"/>
      <c r="CE94" s="18"/>
      <c r="CF94" s="18"/>
      <c r="CG94" s="18"/>
      <c r="CH94" s="18"/>
      <c r="CI94" s="28"/>
      <c r="CJ94" s="28"/>
      <c r="CK94" s="28"/>
      <c r="CL94" s="28"/>
      <c r="CM94" s="28"/>
    </row>
    <row r="95" spans="2:91" ht="13.5" customHeight="1" x14ac:dyDescent="0.25">
      <c r="B95" s="131"/>
      <c r="C95" s="132"/>
      <c r="D95" s="132"/>
      <c r="E95" s="132"/>
      <c r="F95" s="132"/>
      <c r="G95" s="132"/>
      <c r="H95" s="132"/>
      <c r="I95" s="132"/>
      <c r="J95" s="132"/>
      <c r="K95" s="132"/>
      <c r="L95" s="132"/>
      <c r="M95" s="132"/>
      <c r="N95" s="132"/>
      <c r="O95" s="132"/>
      <c r="P95" s="132"/>
      <c r="Q95" s="132"/>
      <c r="R95" s="132"/>
      <c r="S95" s="132"/>
      <c r="T95" s="132"/>
      <c r="U95" s="132"/>
      <c r="V95" s="132"/>
      <c r="W95" s="132"/>
      <c r="X95" s="132"/>
      <c r="Y95" s="132"/>
      <c r="Z95" s="132"/>
      <c r="AA95" s="132"/>
      <c r="AB95" s="132"/>
      <c r="AC95" s="132"/>
      <c r="AD95" s="132"/>
      <c r="AE95" s="132"/>
      <c r="AF95" s="132"/>
      <c r="AG95" s="132"/>
      <c r="AH95" s="132"/>
      <c r="AI95" s="132"/>
      <c r="AJ95" s="132"/>
      <c r="AK95" s="132"/>
      <c r="AL95" s="132"/>
      <c r="AM95" s="132"/>
      <c r="AN95" s="132"/>
      <c r="AO95" s="132"/>
      <c r="AP95" s="132"/>
      <c r="AQ95" s="132"/>
      <c r="AR95" s="132"/>
      <c r="AS95" s="132"/>
      <c r="AT95" s="132"/>
      <c r="AU95" s="132"/>
      <c r="AV95" s="132"/>
      <c r="AW95" s="132"/>
      <c r="AX95" s="132"/>
      <c r="AY95" s="132"/>
      <c r="AZ95" s="132"/>
      <c r="BA95" s="132"/>
      <c r="BB95" s="132"/>
      <c r="BC95" s="132"/>
      <c r="BD95" s="132"/>
      <c r="BE95" s="133"/>
      <c r="BF95" s="144"/>
      <c r="BG95" s="15"/>
      <c r="CD95" s="18"/>
      <c r="CE95" s="18"/>
      <c r="CF95" s="18"/>
      <c r="CG95" s="18"/>
      <c r="CH95" s="18"/>
      <c r="CI95" s="28"/>
      <c r="CJ95" s="28"/>
      <c r="CK95" s="28"/>
      <c r="CL95" s="28"/>
      <c r="CM95" s="28"/>
    </row>
    <row r="96" spans="2:91" ht="13.5" customHeight="1" x14ac:dyDescent="0.25">
      <c r="B96" s="131"/>
      <c r="C96" s="132"/>
      <c r="D96" s="132"/>
      <c r="E96" s="132"/>
      <c r="F96" s="132"/>
      <c r="G96" s="132"/>
      <c r="H96" s="132"/>
      <c r="I96" s="132"/>
      <c r="J96" s="132"/>
      <c r="K96" s="132"/>
      <c r="L96" s="132"/>
      <c r="M96" s="132"/>
      <c r="N96" s="132"/>
      <c r="O96" s="132"/>
      <c r="P96" s="132"/>
      <c r="Q96" s="132"/>
      <c r="R96" s="132"/>
      <c r="S96" s="132"/>
      <c r="T96" s="132"/>
      <c r="U96" s="132"/>
      <c r="V96" s="132"/>
      <c r="W96" s="132"/>
      <c r="X96" s="132"/>
      <c r="Y96" s="132"/>
      <c r="Z96" s="132"/>
      <c r="AA96" s="132"/>
      <c r="AB96" s="132"/>
      <c r="AC96" s="132"/>
      <c r="AD96" s="132"/>
      <c r="AE96" s="132"/>
      <c r="AF96" s="132"/>
      <c r="AG96" s="132"/>
      <c r="AH96" s="132"/>
      <c r="AI96" s="132"/>
      <c r="AJ96" s="132"/>
      <c r="AK96" s="132"/>
      <c r="AL96" s="132"/>
      <c r="AM96" s="132"/>
      <c r="AN96" s="132"/>
      <c r="AO96" s="132"/>
      <c r="AP96" s="132"/>
      <c r="AQ96" s="132"/>
      <c r="AR96" s="132"/>
      <c r="AS96" s="132"/>
      <c r="AT96" s="132"/>
      <c r="AU96" s="132"/>
      <c r="AV96" s="132"/>
      <c r="AW96" s="132"/>
      <c r="AX96" s="132"/>
      <c r="AY96" s="132"/>
      <c r="AZ96" s="132"/>
      <c r="BA96" s="132"/>
      <c r="BB96" s="132"/>
      <c r="BC96" s="132"/>
      <c r="BD96" s="132"/>
      <c r="BE96" s="133"/>
      <c r="BF96" s="144"/>
      <c r="BG96" s="15"/>
      <c r="CD96" s="18"/>
      <c r="CE96" s="18"/>
      <c r="CF96" s="18"/>
      <c r="CG96" s="18"/>
      <c r="CH96" s="18"/>
      <c r="CI96" s="28"/>
      <c r="CJ96" s="28"/>
      <c r="CK96" s="28"/>
      <c r="CL96" s="28"/>
      <c r="CM96" s="28"/>
    </row>
    <row r="97" spans="2:91" ht="25.15" customHeight="1" x14ac:dyDescent="0.25">
      <c r="B97" s="110" t="s">
        <v>94</v>
      </c>
      <c r="C97" s="111"/>
      <c r="D97" s="111"/>
      <c r="E97" s="111"/>
      <c r="F97" s="111"/>
      <c r="G97" s="111"/>
      <c r="H97" s="111"/>
      <c r="I97" s="111"/>
      <c r="J97" s="111"/>
      <c r="K97" s="112"/>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7"/>
      <c r="BF97" s="144"/>
      <c r="BG97" s="15"/>
      <c r="CD97" s="18"/>
      <c r="CE97" s="18"/>
      <c r="CF97" s="18"/>
      <c r="CG97" s="18"/>
      <c r="CH97" s="18"/>
      <c r="CI97" s="28"/>
      <c r="CJ97" s="28"/>
      <c r="CK97" s="28"/>
      <c r="CL97" s="28"/>
      <c r="CM97" s="28"/>
    </row>
    <row r="98" spans="2:91" ht="25.15" customHeight="1" x14ac:dyDescent="0.25">
      <c r="B98" s="113"/>
      <c r="C98" s="114"/>
      <c r="D98" s="114"/>
      <c r="E98" s="114"/>
      <c r="F98" s="114"/>
      <c r="G98" s="114"/>
      <c r="H98" s="114"/>
      <c r="I98" s="114"/>
      <c r="J98" s="114"/>
      <c r="K98" s="115"/>
      <c r="L98" s="118"/>
      <c r="M98" s="118"/>
      <c r="N98" s="118"/>
      <c r="O98" s="118"/>
      <c r="P98" s="118"/>
      <c r="Q98" s="118"/>
      <c r="R98" s="118"/>
      <c r="S98" s="118"/>
      <c r="T98" s="118"/>
      <c r="U98" s="118"/>
      <c r="V98" s="118"/>
      <c r="W98" s="118"/>
      <c r="X98" s="118"/>
      <c r="Y98" s="118"/>
      <c r="Z98" s="118"/>
      <c r="AA98" s="118"/>
      <c r="AB98" s="118"/>
      <c r="AC98" s="118"/>
      <c r="AD98" s="118"/>
      <c r="AE98" s="118"/>
      <c r="AF98" s="118"/>
      <c r="AG98" s="118"/>
      <c r="AH98" s="118"/>
      <c r="AI98" s="118"/>
      <c r="AJ98" s="118"/>
      <c r="AK98" s="118"/>
      <c r="AL98" s="118"/>
      <c r="AM98" s="118"/>
      <c r="AN98" s="118"/>
      <c r="AO98" s="118"/>
      <c r="AP98" s="118"/>
      <c r="AQ98" s="118"/>
      <c r="AR98" s="118"/>
      <c r="AS98" s="118"/>
      <c r="AT98" s="118"/>
      <c r="AU98" s="118"/>
      <c r="AV98" s="118"/>
      <c r="AW98" s="118"/>
      <c r="AX98" s="118"/>
      <c r="AY98" s="118"/>
      <c r="AZ98" s="118"/>
      <c r="BA98" s="118"/>
      <c r="BB98" s="118"/>
      <c r="BC98" s="118"/>
      <c r="BD98" s="118"/>
      <c r="BE98" s="119"/>
      <c r="BF98" s="144"/>
      <c r="BG98" s="15"/>
      <c r="CD98" s="18"/>
      <c r="CE98" s="18"/>
      <c r="CF98" s="18"/>
      <c r="CG98" s="18"/>
      <c r="CH98" s="18"/>
      <c r="CI98" s="28"/>
      <c r="CJ98" s="28"/>
      <c r="CK98" s="28"/>
      <c r="CL98" s="28"/>
      <c r="CM98" s="28"/>
    </row>
    <row r="99" spans="2:91" ht="4.5" customHeight="1" x14ac:dyDescent="0.25">
      <c r="B99" s="64"/>
      <c r="C99" s="64"/>
      <c r="D99" s="64"/>
      <c r="E99" s="64"/>
      <c r="F99" s="64"/>
      <c r="G99" s="64"/>
      <c r="H99" s="64"/>
      <c r="I99" s="64"/>
      <c r="J99" s="64"/>
      <c r="K99" s="64"/>
      <c r="L99" s="64"/>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144"/>
      <c r="BG99" s="15"/>
      <c r="CD99" s="18"/>
      <c r="CE99" s="18"/>
      <c r="CF99" s="18"/>
      <c r="CG99" s="18"/>
      <c r="CH99" s="18"/>
      <c r="CI99" s="28"/>
      <c r="CJ99" s="28"/>
      <c r="CK99" s="28"/>
      <c r="CL99" s="28"/>
      <c r="CM99" s="28"/>
    </row>
    <row r="100" spans="2:91" ht="23.25" customHeight="1" x14ac:dyDescent="0.25">
      <c r="B100" s="191" t="s">
        <v>60</v>
      </c>
      <c r="C100" s="192"/>
      <c r="D100" s="192"/>
      <c r="E100" s="192"/>
      <c r="F100" s="192"/>
      <c r="G100" s="193"/>
      <c r="H100" s="200" t="s">
        <v>72</v>
      </c>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c r="AF100" s="201"/>
      <c r="AG100" s="201"/>
      <c r="AH100" s="201"/>
      <c r="AI100" s="201"/>
      <c r="AJ100" s="201"/>
      <c r="AK100" s="201"/>
      <c r="AL100" s="201"/>
      <c r="AM100" s="201"/>
      <c r="AN100" s="201"/>
      <c r="AO100" s="201"/>
      <c r="AP100" s="201"/>
      <c r="AQ100" s="201"/>
      <c r="AR100" s="201"/>
      <c r="AS100" s="201"/>
      <c r="AT100" s="201"/>
      <c r="AU100" s="201"/>
      <c r="AV100" s="201"/>
      <c r="AW100" s="201"/>
      <c r="AX100" s="201"/>
      <c r="AY100" s="201"/>
      <c r="AZ100" s="201"/>
      <c r="BA100" s="201"/>
      <c r="BB100" s="201"/>
      <c r="BC100" s="201"/>
      <c r="BD100" s="201"/>
      <c r="BE100" s="202"/>
      <c r="BF100" s="144"/>
      <c r="BG100" s="15"/>
      <c r="CD100" s="18"/>
      <c r="CE100" s="18"/>
      <c r="CF100" s="18"/>
      <c r="CG100" s="18"/>
      <c r="CH100" s="18"/>
      <c r="CI100" s="28"/>
      <c r="CJ100" s="28"/>
      <c r="CK100" s="28"/>
      <c r="CL100" s="28"/>
      <c r="CM100" s="28"/>
    </row>
    <row r="101" spans="2:91" ht="20.25" customHeight="1" x14ac:dyDescent="0.25">
      <c r="B101" s="194"/>
      <c r="C101" s="195"/>
      <c r="D101" s="195"/>
      <c r="E101" s="195"/>
      <c r="F101" s="195"/>
      <c r="G101" s="196"/>
      <c r="H101" s="203"/>
      <c r="I101" s="204"/>
      <c r="J101" s="204"/>
      <c r="K101" s="204"/>
      <c r="L101" s="204"/>
      <c r="M101" s="204"/>
      <c r="N101" s="204"/>
      <c r="O101" s="204"/>
      <c r="P101" s="204"/>
      <c r="Q101" s="204"/>
      <c r="R101" s="204"/>
      <c r="S101" s="204"/>
      <c r="T101" s="204"/>
      <c r="U101" s="204"/>
      <c r="V101" s="204"/>
      <c r="W101" s="204"/>
      <c r="X101" s="204"/>
      <c r="Y101" s="204"/>
      <c r="Z101" s="204"/>
      <c r="AA101" s="204"/>
      <c r="AB101" s="204"/>
      <c r="AC101" s="204"/>
      <c r="AD101" s="204"/>
      <c r="AE101" s="204"/>
      <c r="AF101" s="204"/>
      <c r="AG101" s="204"/>
      <c r="AH101" s="204"/>
      <c r="AI101" s="204"/>
      <c r="AJ101" s="204"/>
      <c r="AK101" s="204"/>
      <c r="AL101" s="204"/>
      <c r="AM101" s="204"/>
      <c r="AN101" s="204"/>
      <c r="AO101" s="204"/>
      <c r="AP101" s="204"/>
      <c r="AQ101" s="204"/>
      <c r="AR101" s="204"/>
      <c r="AS101" s="204"/>
      <c r="AT101" s="204"/>
      <c r="AU101" s="204"/>
      <c r="AV101" s="204"/>
      <c r="AW101" s="204"/>
      <c r="AX101" s="204"/>
      <c r="AY101" s="204"/>
      <c r="AZ101" s="204"/>
      <c r="BA101" s="204"/>
      <c r="BB101" s="204"/>
      <c r="BC101" s="204"/>
      <c r="BD101" s="204"/>
      <c r="BE101" s="205"/>
      <c r="BF101" s="144"/>
      <c r="BG101" s="14"/>
      <c r="CD101" s="18"/>
      <c r="CE101" s="18"/>
      <c r="CF101" s="18"/>
      <c r="CG101" s="18"/>
      <c r="CH101" s="18"/>
      <c r="CI101" s="28"/>
      <c r="CJ101" s="28"/>
      <c r="CK101" s="28"/>
      <c r="CL101" s="28"/>
      <c r="CM101" s="28"/>
    </row>
    <row r="102" spans="2:91" ht="9" customHeight="1" x14ac:dyDescent="0.25">
      <c r="B102" s="197"/>
      <c r="C102" s="198"/>
      <c r="D102" s="198"/>
      <c r="E102" s="198"/>
      <c r="F102" s="198"/>
      <c r="G102" s="199"/>
      <c r="H102" s="206"/>
      <c r="I102" s="207"/>
      <c r="J102" s="207"/>
      <c r="K102" s="207"/>
      <c r="L102" s="207"/>
      <c r="M102" s="207"/>
      <c r="N102" s="207"/>
      <c r="O102" s="207"/>
      <c r="P102" s="207"/>
      <c r="Q102" s="207"/>
      <c r="R102" s="207"/>
      <c r="S102" s="207"/>
      <c r="T102" s="207"/>
      <c r="U102" s="207"/>
      <c r="V102" s="207"/>
      <c r="W102" s="207"/>
      <c r="X102" s="207"/>
      <c r="Y102" s="207"/>
      <c r="Z102" s="207"/>
      <c r="AA102" s="207"/>
      <c r="AB102" s="207"/>
      <c r="AC102" s="207"/>
      <c r="AD102" s="207"/>
      <c r="AE102" s="207"/>
      <c r="AF102" s="207"/>
      <c r="AG102" s="207"/>
      <c r="AH102" s="207"/>
      <c r="AI102" s="207"/>
      <c r="AJ102" s="207"/>
      <c r="AK102" s="207"/>
      <c r="AL102" s="207"/>
      <c r="AM102" s="207"/>
      <c r="AN102" s="207"/>
      <c r="AO102" s="207"/>
      <c r="AP102" s="207"/>
      <c r="AQ102" s="207"/>
      <c r="AR102" s="207"/>
      <c r="AS102" s="207"/>
      <c r="AT102" s="207"/>
      <c r="AU102" s="207"/>
      <c r="AV102" s="207"/>
      <c r="AW102" s="207"/>
      <c r="AX102" s="207"/>
      <c r="AY102" s="207"/>
      <c r="AZ102" s="207"/>
      <c r="BA102" s="207"/>
      <c r="BB102" s="207"/>
      <c r="BC102" s="207"/>
      <c r="BD102" s="207"/>
      <c r="BE102" s="208"/>
      <c r="BF102" s="144"/>
      <c r="BG102" s="15"/>
      <c r="CD102" s="18"/>
      <c r="CE102" s="18"/>
      <c r="CF102" s="18"/>
      <c r="CG102" s="18"/>
      <c r="CH102" s="18"/>
      <c r="CI102" s="28"/>
      <c r="CJ102" s="28"/>
      <c r="CK102" s="28"/>
      <c r="CL102" s="28"/>
      <c r="CM102" s="28"/>
    </row>
    <row r="103" spans="2:91" ht="4.5" customHeight="1" x14ac:dyDescent="0.25">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144"/>
      <c r="BG103" s="14"/>
      <c r="CD103" s="18"/>
      <c r="CE103" s="18"/>
      <c r="CF103" s="18"/>
      <c r="CG103" s="18"/>
      <c r="CH103" s="18"/>
      <c r="CI103" s="28"/>
      <c r="CJ103" s="28"/>
      <c r="CK103" s="28"/>
      <c r="CL103" s="28"/>
      <c r="CM103" s="28"/>
    </row>
    <row r="104" spans="2:91" ht="15.75" customHeight="1" x14ac:dyDescent="0.25">
      <c r="B104" s="190" t="s">
        <v>8</v>
      </c>
      <c r="C104" s="190"/>
      <c r="D104" s="190"/>
      <c r="E104" s="190"/>
      <c r="F104" s="190"/>
      <c r="G104" s="190"/>
      <c r="H104" s="181"/>
      <c r="I104" s="182"/>
      <c r="J104" s="182"/>
      <c r="K104" s="182"/>
      <c r="L104" s="182"/>
      <c r="M104" s="182"/>
      <c r="N104" s="182"/>
      <c r="O104" s="182"/>
      <c r="P104" s="182"/>
      <c r="Q104" s="182"/>
      <c r="R104" s="182"/>
      <c r="S104" s="182"/>
      <c r="T104" s="182"/>
      <c r="U104" s="182"/>
      <c r="V104" s="182"/>
      <c r="W104" s="182"/>
      <c r="X104" s="182"/>
      <c r="Y104" s="182"/>
      <c r="Z104" s="182"/>
      <c r="AA104" s="182"/>
      <c r="AB104" s="182"/>
      <c r="AC104" s="182"/>
      <c r="AD104" s="182"/>
      <c r="AE104" s="182"/>
      <c r="AF104" s="182"/>
      <c r="AG104" s="182"/>
      <c r="AH104" s="182"/>
      <c r="AI104" s="182"/>
      <c r="AJ104" s="182"/>
      <c r="AK104" s="182"/>
      <c r="AL104" s="182"/>
      <c r="AM104" s="182"/>
      <c r="AN104" s="182"/>
      <c r="AO104" s="182"/>
      <c r="AP104" s="182"/>
      <c r="AQ104" s="182"/>
      <c r="AR104" s="182"/>
      <c r="AS104" s="182"/>
      <c r="AT104" s="182"/>
      <c r="AU104" s="182"/>
      <c r="AV104" s="182"/>
      <c r="AW104" s="182"/>
      <c r="AX104" s="182"/>
      <c r="AY104" s="182"/>
      <c r="AZ104" s="182"/>
      <c r="BA104" s="182"/>
      <c r="BB104" s="182"/>
      <c r="BC104" s="182"/>
      <c r="BD104" s="182"/>
      <c r="BE104" s="183"/>
      <c r="BF104" s="144"/>
      <c r="BG104" s="14"/>
      <c r="CD104" s="18"/>
      <c r="CE104" s="18"/>
      <c r="CF104" s="18"/>
      <c r="CG104" s="18"/>
      <c r="CH104" s="18"/>
      <c r="CI104" s="28"/>
      <c r="CJ104" s="28"/>
      <c r="CK104" s="28"/>
      <c r="CL104" s="28"/>
      <c r="CM104" s="28"/>
    </row>
    <row r="105" spans="2:91" ht="4.5" customHeight="1" x14ac:dyDescent="0.25">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144"/>
      <c r="CD105" s="18"/>
      <c r="CE105" s="18"/>
      <c r="CF105" s="18"/>
      <c r="CG105" s="18"/>
      <c r="CH105" s="18"/>
      <c r="CI105" s="28"/>
      <c r="CJ105" s="28"/>
      <c r="CK105" s="28"/>
      <c r="CL105" s="28"/>
      <c r="CM105" s="28"/>
    </row>
    <row r="106" spans="2:91" ht="7.5" customHeight="1" x14ac:dyDescent="0.25">
      <c r="B106" s="135" t="s">
        <v>36</v>
      </c>
      <c r="C106" s="136"/>
      <c r="D106" s="136"/>
      <c r="E106" s="136"/>
      <c r="F106" s="136"/>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36"/>
      <c r="AH106" s="136"/>
      <c r="AI106" s="136"/>
      <c r="AJ106" s="136"/>
      <c r="AK106" s="136"/>
      <c r="AL106" s="136"/>
      <c r="AM106" s="136"/>
      <c r="AN106" s="136"/>
      <c r="AO106" s="136"/>
      <c r="AP106" s="136"/>
      <c r="AQ106" s="136"/>
      <c r="AR106" s="136"/>
      <c r="AS106" s="136"/>
      <c r="AT106" s="136"/>
      <c r="AU106" s="136"/>
      <c r="AV106" s="136"/>
      <c r="AW106" s="136"/>
      <c r="AX106" s="136"/>
      <c r="AY106" s="136"/>
      <c r="AZ106" s="136"/>
      <c r="BA106" s="136"/>
      <c r="BB106" s="136"/>
      <c r="BC106" s="136"/>
      <c r="BD106" s="136"/>
      <c r="BE106" s="137"/>
      <c r="BF106" s="144"/>
      <c r="CD106" s="18"/>
      <c r="CE106" s="18"/>
      <c r="CF106" s="18"/>
      <c r="CG106" s="18"/>
      <c r="CH106" s="18"/>
      <c r="CI106" s="28"/>
      <c r="CJ106" s="28"/>
      <c r="CK106" s="28"/>
      <c r="CL106" s="28"/>
      <c r="CM106" s="28"/>
    </row>
    <row r="107" spans="2:91" ht="7.5" customHeight="1" x14ac:dyDescent="0.25">
      <c r="B107" s="138"/>
      <c r="C107" s="139"/>
      <c r="D107" s="139"/>
      <c r="E107" s="139"/>
      <c r="F107" s="139"/>
      <c r="G107" s="139"/>
      <c r="H107" s="139"/>
      <c r="I107" s="139"/>
      <c r="J107" s="139"/>
      <c r="K107" s="139"/>
      <c r="L107" s="139"/>
      <c r="M107" s="139"/>
      <c r="N107" s="139"/>
      <c r="O107" s="139"/>
      <c r="P107" s="139"/>
      <c r="Q107" s="139"/>
      <c r="R107" s="139"/>
      <c r="S107" s="139"/>
      <c r="T107" s="139"/>
      <c r="U107" s="139"/>
      <c r="V107" s="139"/>
      <c r="W107" s="139"/>
      <c r="X107" s="139"/>
      <c r="Y107" s="139"/>
      <c r="Z107" s="139"/>
      <c r="AA107" s="139"/>
      <c r="AB107" s="139"/>
      <c r="AC107" s="139"/>
      <c r="AD107" s="139"/>
      <c r="AE107" s="139"/>
      <c r="AF107" s="139"/>
      <c r="AG107" s="139"/>
      <c r="AH107" s="139"/>
      <c r="AI107" s="139"/>
      <c r="AJ107" s="139"/>
      <c r="AK107" s="139"/>
      <c r="AL107" s="139"/>
      <c r="AM107" s="139"/>
      <c r="AN107" s="139"/>
      <c r="AO107" s="139"/>
      <c r="AP107" s="139"/>
      <c r="AQ107" s="139"/>
      <c r="AR107" s="139"/>
      <c r="AS107" s="139"/>
      <c r="AT107" s="139"/>
      <c r="AU107" s="139"/>
      <c r="AV107" s="139"/>
      <c r="AW107" s="139"/>
      <c r="AX107" s="139"/>
      <c r="AY107" s="139"/>
      <c r="AZ107" s="139"/>
      <c r="BA107" s="139"/>
      <c r="BB107" s="139"/>
      <c r="BC107" s="139"/>
      <c r="BD107" s="139"/>
      <c r="BE107" s="140"/>
      <c r="BF107" s="144"/>
      <c r="CD107" s="18"/>
      <c r="CE107" s="18"/>
      <c r="CF107" s="18"/>
      <c r="CG107" s="18"/>
      <c r="CH107" s="18"/>
      <c r="CI107" s="28"/>
      <c r="CJ107" s="28"/>
      <c r="CK107" s="28"/>
      <c r="CL107" s="28"/>
      <c r="CM107" s="28"/>
    </row>
    <row r="108" spans="2:91" ht="24.75" customHeight="1" x14ac:dyDescent="0.25">
      <c r="B108" s="169"/>
      <c r="C108" s="170"/>
      <c r="D108" s="170"/>
      <c r="E108" s="170"/>
      <c r="F108" s="170"/>
      <c r="G108" s="170"/>
      <c r="H108" s="170"/>
      <c r="I108" s="170"/>
      <c r="J108" s="170"/>
      <c r="K108" s="170"/>
      <c r="L108" s="170"/>
      <c r="M108" s="170"/>
      <c r="N108" s="170"/>
      <c r="O108" s="170"/>
      <c r="P108" s="170"/>
      <c r="Q108" s="170"/>
      <c r="R108" s="170"/>
      <c r="S108" s="170"/>
      <c r="T108" s="170"/>
      <c r="U108" s="170"/>
      <c r="V108" s="170"/>
      <c r="W108" s="170"/>
      <c r="X108" s="170"/>
      <c r="Y108" s="170"/>
      <c r="Z108" s="170"/>
      <c r="AA108" s="170"/>
      <c r="AB108" s="170"/>
      <c r="AC108" s="170"/>
      <c r="AD108" s="171"/>
      <c r="AE108" s="169"/>
      <c r="AF108" s="170"/>
      <c r="AG108" s="170"/>
      <c r="AH108" s="170"/>
      <c r="AI108" s="170"/>
      <c r="AJ108" s="170"/>
      <c r="AK108" s="170"/>
      <c r="AL108" s="170"/>
      <c r="AM108" s="170"/>
      <c r="AN108" s="170"/>
      <c r="AO108" s="170"/>
      <c r="AP108" s="170"/>
      <c r="AQ108" s="170"/>
      <c r="AR108" s="170"/>
      <c r="AS108" s="170"/>
      <c r="AT108" s="170"/>
      <c r="AU108" s="170"/>
      <c r="AV108" s="170"/>
      <c r="AW108" s="170"/>
      <c r="AX108" s="170"/>
      <c r="AY108" s="170"/>
      <c r="AZ108" s="170"/>
      <c r="BA108" s="170"/>
      <c r="BB108" s="170"/>
      <c r="BC108" s="170"/>
      <c r="BD108" s="170"/>
      <c r="BE108" s="171"/>
      <c r="BF108" s="144"/>
      <c r="CD108" s="18"/>
      <c r="CE108" s="18"/>
      <c r="CF108" s="18"/>
      <c r="CG108" s="18"/>
      <c r="CH108" s="18"/>
      <c r="CI108" s="28"/>
      <c r="CJ108" s="28"/>
      <c r="CK108" s="28"/>
      <c r="CL108" s="28"/>
      <c r="CM108" s="28"/>
    </row>
    <row r="109" spans="2:91" ht="24.75" customHeight="1" x14ac:dyDescent="0.25">
      <c r="B109" s="172"/>
      <c r="C109" s="173"/>
      <c r="D109" s="173"/>
      <c r="E109" s="173"/>
      <c r="F109" s="173"/>
      <c r="G109" s="173"/>
      <c r="H109" s="173"/>
      <c r="I109" s="173"/>
      <c r="J109" s="173"/>
      <c r="K109" s="173"/>
      <c r="L109" s="173"/>
      <c r="M109" s="173"/>
      <c r="N109" s="173"/>
      <c r="O109" s="173"/>
      <c r="P109" s="173"/>
      <c r="Q109" s="173"/>
      <c r="R109" s="173"/>
      <c r="S109" s="173"/>
      <c r="T109" s="173"/>
      <c r="U109" s="173"/>
      <c r="V109" s="173"/>
      <c r="W109" s="173"/>
      <c r="X109" s="173"/>
      <c r="Y109" s="173"/>
      <c r="Z109" s="173"/>
      <c r="AA109" s="173"/>
      <c r="AB109" s="173"/>
      <c r="AC109" s="173"/>
      <c r="AD109" s="174"/>
      <c r="AE109" s="172"/>
      <c r="AF109" s="173"/>
      <c r="AG109" s="173"/>
      <c r="AH109" s="173"/>
      <c r="AI109" s="173"/>
      <c r="AJ109" s="173"/>
      <c r="AK109" s="173"/>
      <c r="AL109" s="173"/>
      <c r="AM109" s="173"/>
      <c r="AN109" s="173"/>
      <c r="AO109" s="173"/>
      <c r="AP109" s="173"/>
      <c r="AQ109" s="173"/>
      <c r="AR109" s="173"/>
      <c r="AS109" s="173"/>
      <c r="AT109" s="173"/>
      <c r="AU109" s="173"/>
      <c r="AV109" s="173"/>
      <c r="AW109" s="173"/>
      <c r="AX109" s="173"/>
      <c r="AY109" s="173"/>
      <c r="AZ109" s="173"/>
      <c r="BA109" s="173"/>
      <c r="BB109" s="173"/>
      <c r="BC109" s="173"/>
      <c r="BD109" s="173"/>
      <c r="BE109" s="174"/>
      <c r="BF109" s="144"/>
      <c r="CD109" s="18"/>
      <c r="CE109" s="18"/>
      <c r="CF109" s="18"/>
      <c r="CG109" s="18"/>
      <c r="CH109" s="18"/>
      <c r="CI109" s="28"/>
      <c r="CJ109" s="28"/>
      <c r="CK109" s="28"/>
      <c r="CL109" s="28"/>
      <c r="CM109" s="28"/>
    </row>
    <row r="110" spans="2:91" ht="24.75" customHeight="1" x14ac:dyDescent="0.25">
      <c r="B110" s="172"/>
      <c r="C110" s="173"/>
      <c r="D110" s="173"/>
      <c r="E110" s="173"/>
      <c r="F110" s="173"/>
      <c r="G110" s="173"/>
      <c r="H110" s="173"/>
      <c r="I110" s="173"/>
      <c r="J110" s="173"/>
      <c r="K110" s="173"/>
      <c r="L110" s="173"/>
      <c r="M110" s="173"/>
      <c r="N110" s="173"/>
      <c r="O110" s="173"/>
      <c r="P110" s="173"/>
      <c r="Q110" s="173"/>
      <c r="R110" s="173"/>
      <c r="S110" s="173"/>
      <c r="T110" s="173"/>
      <c r="U110" s="173"/>
      <c r="V110" s="173"/>
      <c r="W110" s="173"/>
      <c r="X110" s="173"/>
      <c r="Y110" s="173"/>
      <c r="Z110" s="173"/>
      <c r="AA110" s="173"/>
      <c r="AB110" s="173"/>
      <c r="AC110" s="173"/>
      <c r="AD110" s="174"/>
      <c r="AE110" s="172"/>
      <c r="AF110" s="173"/>
      <c r="AG110" s="173"/>
      <c r="AH110" s="173"/>
      <c r="AI110" s="173"/>
      <c r="AJ110" s="173"/>
      <c r="AK110" s="173"/>
      <c r="AL110" s="173"/>
      <c r="AM110" s="173"/>
      <c r="AN110" s="173"/>
      <c r="AO110" s="173"/>
      <c r="AP110" s="173"/>
      <c r="AQ110" s="173"/>
      <c r="AR110" s="173"/>
      <c r="AS110" s="173"/>
      <c r="AT110" s="173"/>
      <c r="AU110" s="173"/>
      <c r="AV110" s="173"/>
      <c r="AW110" s="173"/>
      <c r="AX110" s="173"/>
      <c r="AY110" s="173"/>
      <c r="AZ110" s="173"/>
      <c r="BA110" s="173"/>
      <c r="BB110" s="173"/>
      <c r="BC110" s="173"/>
      <c r="BD110" s="173"/>
      <c r="BE110" s="174"/>
      <c r="BF110" s="144"/>
      <c r="CD110" s="18"/>
      <c r="CE110" s="18"/>
      <c r="CF110" s="18"/>
      <c r="CG110" s="18"/>
      <c r="CH110" s="18"/>
      <c r="CI110" s="28"/>
      <c r="CJ110" s="28"/>
      <c r="CK110" s="28"/>
      <c r="CL110" s="28"/>
      <c r="CM110" s="28"/>
    </row>
    <row r="111" spans="2:91" ht="24.75" hidden="1" customHeight="1" x14ac:dyDescent="0.25">
      <c r="B111" s="172"/>
      <c r="C111" s="173"/>
      <c r="D111" s="173"/>
      <c r="E111" s="173"/>
      <c r="F111" s="173"/>
      <c r="G111" s="173"/>
      <c r="H111" s="173"/>
      <c r="I111" s="173"/>
      <c r="J111" s="173"/>
      <c r="K111" s="173"/>
      <c r="L111" s="173"/>
      <c r="M111" s="173"/>
      <c r="N111" s="173"/>
      <c r="O111" s="173"/>
      <c r="P111" s="173"/>
      <c r="Q111" s="173"/>
      <c r="R111" s="173"/>
      <c r="S111" s="173"/>
      <c r="T111" s="173"/>
      <c r="U111" s="173"/>
      <c r="V111" s="173"/>
      <c r="W111" s="173"/>
      <c r="X111" s="173"/>
      <c r="Y111" s="173"/>
      <c r="Z111" s="173"/>
      <c r="AA111" s="173"/>
      <c r="AB111" s="173"/>
      <c r="AC111" s="173"/>
      <c r="AD111" s="174"/>
      <c r="AE111" s="172"/>
      <c r="AF111" s="173"/>
      <c r="AG111" s="173"/>
      <c r="AH111" s="173"/>
      <c r="AI111" s="173"/>
      <c r="AJ111" s="173"/>
      <c r="AK111" s="173"/>
      <c r="AL111" s="173"/>
      <c r="AM111" s="173"/>
      <c r="AN111" s="173"/>
      <c r="AO111" s="173"/>
      <c r="AP111" s="173"/>
      <c r="AQ111" s="173"/>
      <c r="AR111" s="173"/>
      <c r="AS111" s="173"/>
      <c r="AT111" s="173"/>
      <c r="AU111" s="173"/>
      <c r="AV111" s="173"/>
      <c r="AW111" s="173"/>
      <c r="AX111" s="173"/>
      <c r="AY111" s="173"/>
      <c r="AZ111" s="173"/>
      <c r="BA111" s="173"/>
      <c r="BB111" s="173"/>
      <c r="BC111" s="173"/>
      <c r="BD111" s="173"/>
      <c r="BE111" s="174"/>
      <c r="BF111" s="144"/>
      <c r="CD111" s="18"/>
      <c r="CE111" s="18"/>
      <c r="CF111" s="18"/>
      <c r="CG111" s="18"/>
      <c r="CH111" s="18"/>
      <c r="CI111" s="28"/>
      <c r="CJ111" s="28"/>
      <c r="CK111" s="28"/>
      <c r="CL111" s="28"/>
      <c r="CM111" s="28"/>
    </row>
    <row r="112" spans="2:91" ht="24.75" customHeight="1" x14ac:dyDescent="0.25">
      <c r="B112" s="172"/>
      <c r="C112" s="173"/>
      <c r="D112" s="173"/>
      <c r="E112" s="173"/>
      <c r="F112" s="173"/>
      <c r="G112" s="173"/>
      <c r="H112" s="173"/>
      <c r="I112" s="173"/>
      <c r="J112" s="173"/>
      <c r="K112" s="173"/>
      <c r="L112" s="173"/>
      <c r="M112" s="173"/>
      <c r="N112" s="173"/>
      <c r="O112" s="173"/>
      <c r="P112" s="173"/>
      <c r="Q112" s="173"/>
      <c r="R112" s="173"/>
      <c r="S112" s="173"/>
      <c r="T112" s="173"/>
      <c r="U112" s="173"/>
      <c r="V112" s="173"/>
      <c r="W112" s="173"/>
      <c r="X112" s="173"/>
      <c r="Y112" s="173"/>
      <c r="Z112" s="173"/>
      <c r="AA112" s="173"/>
      <c r="AB112" s="173"/>
      <c r="AC112" s="173"/>
      <c r="AD112" s="174"/>
      <c r="AE112" s="172"/>
      <c r="AF112" s="173"/>
      <c r="AG112" s="173"/>
      <c r="AH112" s="173"/>
      <c r="AI112" s="173"/>
      <c r="AJ112" s="173"/>
      <c r="AK112" s="173"/>
      <c r="AL112" s="173"/>
      <c r="AM112" s="173"/>
      <c r="AN112" s="173"/>
      <c r="AO112" s="173"/>
      <c r="AP112" s="173"/>
      <c r="AQ112" s="173"/>
      <c r="AR112" s="173"/>
      <c r="AS112" s="173"/>
      <c r="AT112" s="173"/>
      <c r="AU112" s="173"/>
      <c r="AV112" s="173"/>
      <c r="AW112" s="173"/>
      <c r="AX112" s="173"/>
      <c r="AY112" s="173"/>
      <c r="AZ112" s="173"/>
      <c r="BA112" s="173"/>
      <c r="BB112" s="173"/>
      <c r="BC112" s="173"/>
      <c r="BD112" s="173"/>
      <c r="BE112" s="174"/>
      <c r="BF112" s="144"/>
      <c r="CD112" s="18"/>
      <c r="CE112" s="18"/>
      <c r="CF112" s="18"/>
      <c r="CG112" s="18"/>
      <c r="CH112" s="18"/>
      <c r="CI112" s="28"/>
      <c r="CJ112" s="28"/>
      <c r="CK112" s="28"/>
      <c r="CL112" s="28"/>
      <c r="CM112" s="28"/>
    </row>
    <row r="113" spans="2:91" ht="24.75" customHeight="1" x14ac:dyDescent="0.25">
      <c r="B113" s="172"/>
      <c r="C113" s="173"/>
      <c r="D113" s="173"/>
      <c r="E113" s="173"/>
      <c r="F113" s="173"/>
      <c r="G113" s="173"/>
      <c r="H113" s="173"/>
      <c r="I113" s="173"/>
      <c r="J113" s="173"/>
      <c r="K113" s="173"/>
      <c r="L113" s="173"/>
      <c r="M113" s="173"/>
      <c r="N113" s="173"/>
      <c r="O113" s="173"/>
      <c r="P113" s="173"/>
      <c r="Q113" s="173"/>
      <c r="R113" s="173"/>
      <c r="S113" s="173"/>
      <c r="T113" s="173"/>
      <c r="U113" s="173"/>
      <c r="V113" s="173"/>
      <c r="W113" s="173"/>
      <c r="X113" s="173"/>
      <c r="Y113" s="173"/>
      <c r="Z113" s="173"/>
      <c r="AA113" s="173"/>
      <c r="AB113" s="173"/>
      <c r="AC113" s="173"/>
      <c r="AD113" s="174"/>
      <c r="AE113" s="172"/>
      <c r="AF113" s="173"/>
      <c r="AG113" s="173"/>
      <c r="AH113" s="173"/>
      <c r="AI113" s="173"/>
      <c r="AJ113" s="173"/>
      <c r="AK113" s="173"/>
      <c r="AL113" s="173"/>
      <c r="AM113" s="173"/>
      <c r="AN113" s="173"/>
      <c r="AO113" s="173"/>
      <c r="AP113" s="173"/>
      <c r="AQ113" s="173"/>
      <c r="AR113" s="173"/>
      <c r="AS113" s="173"/>
      <c r="AT113" s="173"/>
      <c r="AU113" s="173"/>
      <c r="AV113" s="173"/>
      <c r="AW113" s="173"/>
      <c r="AX113" s="173"/>
      <c r="AY113" s="173"/>
      <c r="AZ113" s="173"/>
      <c r="BA113" s="173"/>
      <c r="BB113" s="173"/>
      <c r="BC113" s="173"/>
      <c r="BD113" s="173"/>
      <c r="BE113" s="174"/>
      <c r="BF113" s="144"/>
      <c r="CD113" s="18"/>
      <c r="CE113" s="18"/>
      <c r="CF113" s="18"/>
      <c r="CG113" s="18"/>
      <c r="CH113" s="18"/>
      <c r="CI113" s="28"/>
      <c r="CJ113" s="28"/>
      <c r="CK113" s="28"/>
      <c r="CL113" s="28"/>
      <c r="CM113" s="28"/>
    </row>
    <row r="114" spans="2:91" ht="24.75" customHeight="1" x14ac:dyDescent="0.25">
      <c r="B114" s="172"/>
      <c r="C114" s="173"/>
      <c r="D114" s="173"/>
      <c r="E114" s="173"/>
      <c r="F114" s="173"/>
      <c r="G114" s="173"/>
      <c r="H114" s="173"/>
      <c r="I114" s="173"/>
      <c r="J114" s="173"/>
      <c r="K114" s="173"/>
      <c r="L114" s="173"/>
      <c r="M114" s="173"/>
      <c r="N114" s="173"/>
      <c r="O114" s="173"/>
      <c r="P114" s="173"/>
      <c r="Q114" s="173"/>
      <c r="R114" s="173"/>
      <c r="S114" s="173"/>
      <c r="T114" s="173"/>
      <c r="U114" s="173"/>
      <c r="V114" s="173"/>
      <c r="W114" s="173"/>
      <c r="X114" s="173"/>
      <c r="Y114" s="173"/>
      <c r="Z114" s="173"/>
      <c r="AA114" s="173"/>
      <c r="AB114" s="173"/>
      <c r="AC114" s="173"/>
      <c r="AD114" s="174"/>
      <c r="AE114" s="172"/>
      <c r="AF114" s="173"/>
      <c r="AG114" s="173"/>
      <c r="AH114" s="173"/>
      <c r="AI114" s="173"/>
      <c r="AJ114" s="173"/>
      <c r="AK114" s="173"/>
      <c r="AL114" s="173"/>
      <c r="AM114" s="173"/>
      <c r="AN114" s="173"/>
      <c r="AO114" s="173"/>
      <c r="AP114" s="173"/>
      <c r="AQ114" s="173"/>
      <c r="AR114" s="173"/>
      <c r="AS114" s="173"/>
      <c r="AT114" s="173"/>
      <c r="AU114" s="173"/>
      <c r="AV114" s="173"/>
      <c r="AW114" s="173"/>
      <c r="AX114" s="173"/>
      <c r="AY114" s="173"/>
      <c r="AZ114" s="173"/>
      <c r="BA114" s="173"/>
      <c r="BB114" s="173"/>
      <c r="BC114" s="173"/>
      <c r="BD114" s="173"/>
      <c r="BE114" s="174"/>
      <c r="BF114" s="21"/>
      <c r="CD114" s="18"/>
      <c r="CE114" s="18"/>
      <c r="CF114" s="18"/>
      <c r="CG114" s="18"/>
      <c r="CH114" s="18"/>
      <c r="CI114" s="28"/>
      <c r="CJ114" s="28"/>
      <c r="CK114" s="28"/>
      <c r="CL114" s="28"/>
      <c r="CM114" s="28"/>
    </row>
    <row r="115" spans="2:91" ht="24.75" customHeight="1" x14ac:dyDescent="0.25">
      <c r="B115" s="172"/>
      <c r="C115" s="173"/>
      <c r="D115" s="173"/>
      <c r="E115" s="173"/>
      <c r="F115" s="173"/>
      <c r="G115" s="173"/>
      <c r="H115" s="173"/>
      <c r="I115" s="173"/>
      <c r="J115" s="173"/>
      <c r="K115" s="173"/>
      <c r="L115" s="173"/>
      <c r="M115" s="173"/>
      <c r="N115" s="173"/>
      <c r="O115" s="173"/>
      <c r="P115" s="173"/>
      <c r="Q115" s="173"/>
      <c r="R115" s="173"/>
      <c r="S115" s="173"/>
      <c r="T115" s="173"/>
      <c r="U115" s="173"/>
      <c r="V115" s="173"/>
      <c r="W115" s="173"/>
      <c r="X115" s="173"/>
      <c r="Y115" s="173"/>
      <c r="Z115" s="173"/>
      <c r="AA115" s="173"/>
      <c r="AB115" s="173"/>
      <c r="AC115" s="173"/>
      <c r="AD115" s="174"/>
      <c r="AE115" s="172"/>
      <c r="AF115" s="173"/>
      <c r="AG115" s="173"/>
      <c r="AH115" s="173"/>
      <c r="AI115" s="173"/>
      <c r="AJ115" s="173"/>
      <c r="AK115" s="173"/>
      <c r="AL115" s="173"/>
      <c r="AM115" s="173"/>
      <c r="AN115" s="173"/>
      <c r="AO115" s="173"/>
      <c r="AP115" s="173"/>
      <c r="AQ115" s="173"/>
      <c r="AR115" s="173"/>
      <c r="AS115" s="173"/>
      <c r="AT115" s="173"/>
      <c r="AU115" s="173"/>
      <c r="AV115" s="173"/>
      <c r="AW115" s="173"/>
      <c r="AX115" s="173"/>
      <c r="AY115" s="173"/>
      <c r="AZ115" s="173"/>
      <c r="BA115" s="173"/>
      <c r="BB115" s="173"/>
      <c r="BC115" s="173"/>
      <c r="BD115" s="173"/>
      <c r="BE115" s="174"/>
      <c r="BF115" s="21"/>
      <c r="CD115" s="18"/>
      <c r="CE115" s="18"/>
      <c r="CF115" s="18"/>
      <c r="CG115" s="18"/>
      <c r="CH115" s="18"/>
      <c r="CI115" s="28"/>
      <c r="CJ115" s="28"/>
      <c r="CK115" s="28"/>
      <c r="CL115" s="28"/>
      <c r="CM115" s="28"/>
    </row>
    <row r="116" spans="2:91" ht="24.75" customHeight="1" x14ac:dyDescent="0.25">
      <c r="B116" s="172"/>
      <c r="C116" s="173"/>
      <c r="D116" s="173"/>
      <c r="E116" s="173"/>
      <c r="F116" s="173"/>
      <c r="G116" s="173"/>
      <c r="H116" s="173"/>
      <c r="I116" s="173"/>
      <c r="J116" s="173"/>
      <c r="K116" s="173"/>
      <c r="L116" s="173"/>
      <c r="M116" s="173"/>
      <c r="N116" s="173"/>
      <c r="O116" s="173"/>
      <c r="P116" s="173"/>
      <c r="Q116" s="173"/>
      <c r="R116" s="173"/>
      <c r="S116" s="173"/>
      <c r="T116" s="173"/>
      <c r="U116" s="173"/>
      <c r="V116" s="173"/>
      <c r="W116" s="173"/>
      <c r="X116" s="173"/>
      <c r="Y116" s="173"/>
      <c r="Z116" s="173"/>
      <c r="AA116" s="173"/>
      <c r="AB116" s="173"/>
      <c r="AC116" s="173"/>
      <c r="AD116" s="174"/>
      <c r="AE116" s="172"/>
      <c r="AF116" s="173"/>
      <c r="AG116" s="173"/>
      <c r="AH116" s="173"/>
      <c r="AI116" s="173"/>
      <c r="AJ116" s="173"/>
      <c r="AK116" s="173"/>
      <c r="AL116" s="173"/>
      <c r="AM116" s="173"/>
      <c r="AN116" s="173"/>
      <c r="AO116" s="173"/>
      <c r="AP116" s="173"/>
      <c r="AQ116" s="173"/>
      <c r="AR116" s="173"/>
      <c r="AS116" s="173"/>
      <c r="AT116" s="173"/>
      <c r="AU116" s="173"/>
      <c r="AV116" s="173"/>
      <c r="AW116" s="173"/>
      <c r="AX116" s="173"/>
      <c r="AY116" s="173"/>
      <c r="AZ116" s="173"/>
      <c r="BA116" s="173"/>
      <c r="BB116" s="173"/>
      <c r="BC116" s="173"/>
      <c r="BD116" s="173"/>
      <c r="BE116" s="174"/>
      <c r="BF116" s="21"/>
      <c r="CI116" s="14"/>
      <c r="CJ116" s="14"/>
      <c r="CK116" s="14"/>
      <c r="CL116" s="14"/>
      <c r="CM116" s="14"/>
    </row>
    <row r="117" spans="2:91" ht="24.75" customHeight="1" x14ac:dyDescent="0.25">
      <c r="B117" s="172"/>
      <c r="C117" s="173"/>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73"/>
      <c r="AB117" s="173"/>
      <c r="AC117" s="173"/>
      <c r="AD117" s="174"/>
      <c r="AE117" s="172"/>
      <c r="AF117" s="173"/>
      <c r="AG117" s="173"/>
      <c r="AH117" s="173"/>
      <c r="AI117" s="173"/>
      <c r="AJ117" s="173"/>
      <c r="AK117" s="173"/>
      <c r="AL117" s="173"/>
      <c r="AM117" s="173"/>
      <c r="AN117" s="173"/>
      <c r="AO117" s="173"/>
      <c r="AP117" s="173"/>
      <c r="AQ117" s="173"/>
      <c r="AR117" s="173"/>
      <c r="AS117" s="173"/>
      <c r="AT117" s="173"/>
      <c r="AU117" s="173"/>
      <c r="AV117" s="173"/>
      <c r="AW117" s="173"/>
      <c r="AX117" s="173"/>
      <c r="AY117" s="173"/>
      <c r="AZ117" s="173"/>
      <c r="BA117" s="173"/>
      <c r="BB117" s="173"/>
      <c r="BC117" s="173"/>
      <c r="BD117" s="173"/>
      <c r="BE117" s="174"/>
      <c r="BF117" s="21"/>
      <c r="CI117" s="14"/>
      <c r="CJ117" s="14"/>
      <c r="CK117" s="14"/>
      <c r="CL117" s="14"/>
      <c r="CM117" s="14"/>
    </row>
    <row r="118" spans="2:91" ht="24.75" customHeight="1" x14ac:dyDescent="0.25">
      <c r="B118" s="172"/>
      <c r="C118" s="173"/>
      <c r="D118" s="173"/>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173"/>
      <c r="AB118" s="173"/>
      <c r="AC118" s="173"/>
      <c r="AD118" s="174"/>
      <c r="AE118" s="172"/>
      <c r="AF118" s="173"/>
      <c r="AG118" s="173"/>
      <c r="AH118" s="173"/>
      <c r="AI118" s="173"/>
      <c r="AJ118" s="173"/>
      <c r="AK118" s="173"/>
      <c r="AL118" s="173"/>
      <c r="AM118" s="173"/>
      <c r="AN118" s="173"/>
      <c r="AO118" s="173"/>
      <c r="AP118" s="173"/>
      <c r="AQ118" s="173"/>
      <c r="AR118" s="173"/>
      <c r="AS118" s="173"/>
      <c r="AT118" s="173"/>
      <c r="AU118" s="173"/>
      <c r="AV118" s="173"/>
      <c r="AW118" s="173"/>
      <c r="AX118" s="173"/>
      <c r="AY118" s="173"/>
      <c r="AZ118" s="173"/>
      <c r="BA118" s="173"/>
      <c r="BB118" s="173"/>
      <c r="BC118" s="173"/>
      <c r="BD118" s="173"/>
      <c r="BE118" s="174"/>
      <c r="BF118" s="21"/>
      <c r="CI118" s="14"/>
      <c r="CJ118" s="14"/>
      <c r="CK118" s="14"/>
      <c r="CL118" s="14"/>
      <c r="CM118" s="14"/>
    </row>
    <row r="119" spans="2:91" ht="24.75" customHeight="1" x14ac:dyDescent="0.25">
      <c r="B119" s="175"/>
      <c r="C119" s="176"/>
      <c r="D119" s="176"/>
      <c r="E119" s="176"/>
      <c r="F119" s="176"/>
      <c r="G119" s="176"/>
      <c r="H119" s="176"/>
      <c r="I119" s="176"/>
      <c r="J119" s="176"/>
      <c r="K119" s="176"/>
      <c r="L119" s="176"/>
      <c r="M119" s="176"/>
      <c r="N119" s="176"/>
      <c r="O119" s="176"/>
      <c r="P119" s="176"/>
      <c r="Q119" s="176"/>
      <c r="R119" s="176"/>
      <c r="S119" s="176"/>
      <c r="T119" s="176"/>
      <c r="U119" s="176"/>
      <c r="V119" s="176"/>
      <c r="W119" s="176"/>
      <c r="X119" s="176"/>
      <c r="Y119" s="176"/>
      <c r="Z119" s="176"/>
      <c r="AA119" s="176"/>
      <c r="AB119" s="176"/>
      <c r="AC119" s="176"/>
      <c r="AD119" s="177"/>
      <c r="AE119" s="175"/>
      <c r="AF119" s="176"/>
      <c r="AG119" s="176"/>
      <c r="AH119" s="176"/>
      <c r="AI119" s="176"/>
      <c r="AJ119" s="176"/>
      <c r="AK119" s="176"/>
      <c r="AL119" s="176"/>
      <c r="AM119" s="176"/>
      <c r="AN119" s="176"/>
      <c r="AO119" s="176"/>
      <c r="AP119" s="176"/>
      <c r="AQ119" s="176"/>
      <c r="AR119" s="176"/>
      <c r="AS119" s="176"/>
      <c r="AT119" s="176"/>
      <c r="AU119" s="176"/>
      <c r="AV119" s="176"/>
      <c r="AW119" s="176"/>
      <c r="AX119" s="176"/>
      <c r="AY119" s="176"/>
      <c r="AZ119" s="176"/>
      <c r="BA119" s="176"/>
      <c r="BB119" s="176"/>
      <c r="BC119" s="176"/>
      <c r="BD119" s="176"/>
      <c r="BE119" s="177"/>
      <c r="BF119" s="21"/>
      <c r="CI119" s="14"/>
      <c r="CJ119" s="14"/>
      <c r="CK119" s="14"/>
      <c r="CL119" s="14"/>
      <c r="CM119" s="14"/>
    </row>
    <row r="120" spans="2:91" ht="4.5" customHeight="1" x14ac:dyDescent="0.25">
      <c r="B120" s="55"/>
      <c r="C120" s="55"/>
      <c r="D120" s="55"/>
      <c r="E120" s="55"/>
      <c r="F120" s="55"/>
      <c r="G120" s="55"/>
      <c r="H120" s="55"/>
      <c r="I120" s="55"/>
      <c r="J120" s="55"/>
      <c r="K120" s="55"/>
      <c r="L120" s="55"/>
      <c r="M120" s="55"/>
      <c r="N120" s="55"/>
      <c r="O120" s="55"/>
      <c r="P120" s="55"/>
      <c r="Q120" s="55"/>
      <c r="R120" s="55"/>
      <c r="S120" s="55"/>
      <c r="T120" s="55"/>
      <c r="U120" s="55"/>
      <c r="V120" s="55"/>
      <c r="W120" s="55"/>
      <c r="X120" s="55"/>
      <c r="Y120" s="55"/>
      <c r="Z120" s="55"/>
      <c r="AA120" s="55"/>
      <c r="AB120" s="55"/>
      <c r="AC120" s="55"/>
      <c r="AD120" s="55"/>
      <c r="AE120" s="55"/>
      <c r="AF120" s="55"/>
      <c r="AG120" s="55"/>
      <c r="AH120" s="55"/>
      <c r="AI120" s="55"/>
      <c r="AJ120" s="55"/>
      <c r="AK120" s="55"/>
      <c r="AL120" s="55"/>
      <c r="AM120" s="55"/>
      <c r="AN120" s="55"/>
      <c r="AO120" s="55"/>
      <c r="AP120" s="55"/>
      <c r="AQ120" s="55"/>
      <c r="AR120" s="55"/>
      <c r="AS120" s="55"/>
      <c r="AT120" s="55"/>
      <c r="AU120" s="55"/>
      <c r="AV120" s="55"/>
      <c r="AW120" s="55"/>
      <c r="AX120" s="55"/>
      <c r="AY120" s="55"/>
      <c r="AZ120" s="55"/>
      <c r="BA120" s="55"/>
      <c r="BB120" s="55"/>
      <c r="BC120" s="55"/>
      <c r="BD120" s="55"/>
      <c r="BE120" s="55"/>
      <c r="BF120" s="21"/>
      <c r="CI120" s="14"/>
      <c r="CJ120" s="14"/>
      <c r="CK120" s="14"/>
      <c r="CL120" s="14"/>
      <c r="CM120" s="14"/>
    </row>
    <row r="121" spans="2:91" ht="15.75" customHeight="1" x14ac:dyDescent="0.25">
      <c r="B121" s="178" t="s">
        <v>37</v>
      </c>
      <c r="C121" s="179"/>
      <c r="D121" s="179"/>
      <c r="E121" s="179"/>
      <c r="F121" s="179"/>
      <c r="G121" s="179"/>
      <c r="H121" s="179"/>
      <c r="I121" s="179"/>
      <c r="J121" s="179"/>
      <c r="K121" s="179"/>
      <c r="L121" s="179"/>
      <c r="M121" s="179"/>
      <c r="N121" s="179"/>
      <c r="O121" s="179"/>
      <c r="P121" s="179"/>
      <c r="Q121" s="179"/>
      <c r="R121" s="179"/>
      <c r="S121" s="180"/>
      <c r="T121" s="181"/>
      <c r="U121" s="182"/>
      <c r="V121" s="182"/>
      <c r="W121" s="182"/>
      <c r="X121" s="182"/>
      <c r="Y121" s="182"/>
      <c r="Z121" s="182"/>
      <c r="AA121" s="182"/>
      <c r="AB121" s="182"/>
      <c r="AC121" s="182"/>
      <c r="AD121" s="182"/>
      <c r="AE121" s="182"/>
      <c r="AF121" s="182"/>
      <c r="AG121" s="182"/>
      <c r="AH121" s="182"/>
      <c r="AI121" s="182"/>
      <c r="AJ121" s="182"/>
      <c r="AK121" s="182"/>
      <c r="AL121" s="182"/>
      <c r="AM121" s="182"/>
      <c r="AN121" s="182"/>
      <c r="AO121" s="182"/>
      <c r="AP121" s="183"/>
      <c r="AQ121" s="184" t="s">
        <v>9</v>
      </c>
      <c r="AR121" s="185"/>
      <c r="AS121" s="186"/>
      <c r="AT121" s="187">
        <f ca="1">TODAY()</f>
        <v>43994</v>
      </c>
      <c r="AU121" s="188"/>
      <c r="AV121" s="188"/>
      <c r="AW121" s="188"/>
      <c r="AX121" s="188"/>
      <c r="AY121" s="188"/>
      <c r="AZ121" s="188"/>
      <c r="BA121" s="188"/>
      <c r="BB121" s="188"/>
      <c r="BC121" s="188"/>
      <c r="BD121" s="188"/>
      <c r="BE121" s="189"/>
      <c r="BF121" s="21"/>
      <c r="CI121" s="14"/>
      <c r="CJ121" s="14"/>
      <c r="CK121" s="14"/>
      <c r="CL121" s="14"/>
      <c r="CM121" s="14"/>
    </row>
    <row r="122" spans="2:91" ht="15" customHeight="1" x14ac:dyDescent="0.25">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7"/>
      <c r="BC122" s="26"/>
      <c r="BD122" s="26"/>
      <c r="BE122" s="26"/>
      <c r="CI122" s="14"/>
      <c r="CJ122" s="14"/>
      <c r="CK122" s="14"/>
      <c r="CL122" s="14"/>
      <c r="CM122" s="14"/>
    </row>
    <row r="123" spans="2:91" ht="15" customHeight="1" x14ac:dyDescent="0.25">
      <c r="B123" s="103" t="s">
        <v>146</v>
      </c>
      <c r="C123" s="104"/>
      <c r="D123" s="104"/>
      <c r="E123" s="104"/>
      <c r="F123" s="104"/>
      <c r="G123" s="104"/>
      <c r="H123" s="104"/>
      <c r="I123" s="104"/>
      <c r="J123" s="104"/>
      <c r="K123" s="104"/>
      <c r="L123" s="104"/>
      <c r="M123" s="104"/>
      <c r="N123" s="104"/>
      <c r="O123" s="104"/>
      <c r="P123" s="104"/>
      <c r="Q123" s="104"/>
      <c r="R123" s="104"/>
      <c r="S123" s="104"/>
      <c r="T123" s="104"/>
      <c r="U123" s="104"/>
      <c r="V123" s="104"/>
      <c r="W123" s="105"/>
      <c r="X123" s="106"/>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4"/>
      <c r="AV123" s="104"/>
      <c r="AW123" s="104"/>
      <c r="AX123" s="104"/>
      <c r="AY123" s="104"/>
      <c r="AZ123" s="104"/>
      <c r="BA123" s="104"/>
      <c r="BB123" s="104"/>
      <c r="BC123" s="104"/>
      <c r="BD123" s="104"/>
      <c r="BE123" s="104"/>
      <c r="BF123" s="105"/>
      <c r="CI123" s="14"/>
      <c r="CJ123" s="14"/>
      <c r="CK123" s="14"/>
      <c r="CL123" s="14"/>
      <c r="CM123" s="14"/>
    </row>
    <row r="124" spans="2:91" ht="15.75" customHeight="1" x14ac:dyDescent="0.25">
      <c r="B124" s="103" t="s">
        <v>147</v>
      </c>
      <c r="C124" s="104"/>
      <c r="D124" s="104"/>
      <c r="E124" s="104"/>
      <c r="F124" s="104"/>
      <c r="G124" s="104"/>
      <c r="H124" s="104"/>
      <c r="I124" s="104"/>
      <c r="J124" s="104"/>
      <c r="K124" s="104"/>
      <c r="L124" s="104"/>
      <c r="M124" s="104"/>
      <c r="N124" s="104"/>
      <c r="O124" s="104"/>
      <c r="P124" s="104"/>
      <c r="Q124" s="104"/>
      <c r="R124" s="104"/>
      <c r="S124" s="104"/>
      <c r="T124" s="104"/>
      <c r="U124" s="104"/>
      <c r="V124" s="104"/>
      <c r="W124" s="105"/>
      <c r="X124" s="106"/>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8"/>
      <c r="CI124" s="14"/>
      <c r="CJ124" s="14"/>
      <c r="CK124" s="14"/>
      <c r="CL124" s="14"/>
      <c r="CM124" s="14"/>
    </row>
    <row r="125" spans="2:91" ht="15.75" customHeight="1" x14ac:dyDescent="0.25">
      <c r="B125" s="109" t="str">
        <f>IF(X123="","-",IF(X123=X124,"O E-MAIL FOI VALIDADO","VERIFIQUE O E-MAIL DIGITADO - VALIDAÇÃO NÃO CONFERE"))</f>
        <v>-</v>
      </c>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c r="BC125" s="107"/>
      <c r="BD125" s="107"/>
      <c r="BE125" s="107"/>
      <c r="BF125" s="108"/>
      <c r="CI125" s="14"/>
      <c r="CJ125" s="14"/>
      <c r="CK125" s="14"/>
      <c r="CL125" s="14"/>
      <c r="CM125" s="14"/>
    </row>
    <row r="126" spans="2:91" x14ac:dyDescent="0.25">
      <c r="CI126" s="14"/>
      <c r="CJ126" s="14"/>
      <c r="CK126" s="14"/>
      <c r="CL126" s="14"/>
      <c r="CM126" s="14"/>
    </row>
    <row r="127" spans="2:91" x14ac:dyDescent="0.25">
      <c r="CI127" s="14"/>
      <c r="CJ127" s="14"/>
      <c r="CK127" s="14"/>
      <c r="CL127" s="14"/>
      <c r="CM127" s="14"/>
    </row>
    <row r="128" spans="2:91" x14ac:dyDescent="0.25">
      <c r="CI128" s="14"/>
      <c r="CJ128" s="14"/>
      <c r="CK128" s="14"/>
      <c r="CL128" s="14"/>
      <c r="CM128" s="14"/>
    </row>
  </sheetData>
  <mergeCells count="84">
    <mergeCell ref="C86:AB86"/>
    <mergeCell ref="C88:D88"/>
    <mergeCell ref="F88:AB88"/>
    <mergeCell ref="AE88:AF88"/>
    <mergeCell ref="AE86:BD86"/>
    <mergeCell ref="AH88:BD88"/>
    <mergeCell ref="B59:M62"/>
    <mergeCell ref="N59:AO62"/>
    <mergeCell ref="AP60:AU60"/>
    <mergeCell ref="B66:AB67"/>
    <mergeCell ref="AC66:AK67"/>
    <mergeCell ref="AL66:AT67"/>
    <mergeCell ref="AU66:BE67"/>
    <mergeCell ref="AV60:BD60"/>
    <mergeCell ref="B63:BE63"/>
    <mergeCell ref="B64:O64"/>
    <mergeCell ref="P64:BE64"/>
    <mergeCell ref="B65:BE65"/>
    <mergeCell ref="BH59:BP74"/>
    <mergeCell ref="BF59:BF83"/>
    <mergeCell ref="B108:AD119"/>
    <mergeCell ref="AE108:BE119"/>
    <mergeCell ref="B121:S121"/>
    <mergeCell ref="T121:AP121"/>
    <mergeCell ref="AQ121:AS121"/>
    <mergeCell ref="AT121:BE121"/>
    <mergeCell ref="B104:G104"/>
    <mergeCell ref="H104:BE104"/>
    <mergeCell ref="B100:G102"/>
    <mergeCell ref="H100:BE102"/>
    <mergeCell ref="B106:BE107"/>
    <mergeCell ref="C80:D80"/>
    <mergeCell ref="F80:AB80"/>
    <mergeCell ref="AE80:AF80"/>
    <mergeCell ref="BF2:BF26"/>
    <mergeCell ref="BF27:BF56"/>
    <mergeCell ref="H13:BC18"/>
    <mergeCell ref="C10:BE10"/>
    <mergeCell ref="H19:BC22"/>
    <mergeCell ref="H23:BC26"/>
    <mergeCell ref="H27:BC30"/>
    <mergeCell ref="H31:BC32"/>
    <mergeCell ref="H33:AS34"/>
    <mergeCell ref="V40:AI41"/>
    <mergeCell ref="AJ40:BC41"/>
    <mergeCell ref="D44:BD44"/>
    <mergeCell ref="D46:BD46"/>
    <mergeCell ref="BF84:BF113"/>
    <mergeCell ref="B71:Q71"/>
    <mergeCell ref="R71:AD71"/>
    <mergeCell ref="AE71:AQ71"/>
    <mergeCell ref="AR71:BE71"/>
    <mergeCell ref="B73:BE74"/>
    <mergeCell ref="C82:D82"/>
    <mergeCell ref="F82:AB82"/>
    <mergeCell ref="AE82:BD82"/>
    <mergeCell ref="AH80:BC80"/>
    <mergeCell ref="C76:AB76"/>
    <mergeCell ref="AE76:BD76"/>
    <mergeCell ref="C78:D78"/>
    <mergeCell ref="F78:AB78"/>
    <mergeCell ref="AE78:AF78"/>
    <mergeCell ref="AH78:BC78"/>
    <mergeCell ref="B97:K98"/>
    <mergeCell ref="L97:BE98"/>
    <mergeCell ref="AR69:BE70"/>
    <mergeCell ref="B68:AB68"/>
    <mergeCell ref="AC68:AK68"/>
    <mergeCell ref="AL68:AT68"/>
    <mergeCell ref="AU68:BE68"/>
    <mergeCell ref="B92:BE96"/>
    <mergeCell ref="B69:Q70"/>
    <mergeCell ref="R69:AD70"/>
    <mergeCell ref="AE69:AQ70"/>
    <mergeCell ref="AH84:BD84"/>
    <mergeCell ref="B90:BE91"/>
    <mergeCell ref="C84:D84"/>
    <mergeCell ref="F84:AB84"/>
    <mergeCell ref="AE84:AF84"/>
    <mergeCell ref="B123:W123"/>
    <mergeCell ref="X123:BF123"/>
    <mergeCell ref="B124:W124"/>
    <mergeCell ref="X124:BF124"/>
    <mergeCell ref="B125:BF125"/>
  </mergeCells>
  <phoneticPr fontId="5" type="noConversion"/>
  <conditionalFormatting sqref="BD122">
    <cfRule type="containsText" dxfId="3" priority="3" operator="containsText" text="ñ conforme">
      <formula>NOT(ISERROR(SEARCH("ñ conforme",BD122)))</formula>
    </cfRule>
    <cfRule type="containsText" dxfId="2" priority="4" operator="containsText" text="conforme">
      <formula>NOT(ISERROR(SEARCH("conforme",BD122)))</formula>
    </cfRule>
  </conditionalFormatting>
  <conditionalFormatting sqref="B125:BF125">
    <cfRule type="containsText" dxfId="1" priority="1" operator="containsText" text="VERIFIQUE O E-MAIL DIGITADO - VALIDAÇÃO NÃO CONFERE">
      <formula>NOT(ISERROR(SEARCH("VERIFIQUE O E-MAIL DIGITADO - VALIDAÇÃO NÃO CONFERE",B125)))</formula>
    </cfRule>
    <cfRule type="containsText" dxfId="0" priority="2" operator="containsText" text="O E-MAIL FOI VALIDADO">
      <formula>NOT(ISERROR(SEARCH("O E-MAIL FOI VALIDADO",B125)))</formula>
    </cfRule>
  </conditionalFormatting>
  <dataValidations count="1">
    <dataValidation type="custom" allowBlank="1" showInputMessage="1" showErrorMessage="1" error="Código Já Existente !!" sqref="B122:AZ122 B123:B124" xr:uid="{00000000-0002-0000-0100-000000000000}">
      <formula1>COUNTIF($B$65:$B$146,B122)=1</formula1>
    </dataValidation>
  </dataValidations>
  <hyperlinks>
    <hyperlink ref="CF16" r:id="rId1" display="https://www.futfanatics.com.br/politica-de-trocas-e-devolucoes" xr:uid="{CF37AE99-2B10-48A0-93D5-3A43245D8BB2}"/>
  </hyperlinks>
  <pageMargins left="0.27559055118110237" right="0" top="0.35433070866141736" bottom="0.35433070866141736" header="0.31496062992125984" footer="0.31496062992125984"/>
  <pageSetup paperSize="9" scale="96" fitToHeight="2" orientation="portrait" horizontalDpi="4294967295" verticalDpi="4294967295" r:id="rId2"/>
  <rowBreaks count="1" manualBreakCount="1">
    <brk id="57" min="1" max="57" man="1"/>
  </rowBreaks>
  <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CONTROLE!$D$3:$D$12</xm:f>
          </x14:formula1>
          <xm:sqref>T121:AP121</xm:sqref>
        </x14:dataValidation>
        <x14:dataValidation type="list" allowBlank="1" showInputMessage="1" showErrorMessage="1" xr:uid="{00000000-0002-0000-0100-000004000000}">
          <x14:formula1>
            <xm:f>CONTROLE!$B$3:$B$13</xm:f>
          </x14:formula1>
          <xm:sqref>P64:BE64</xm:sqref>
        </x14:dataValidation>
        <x14:dataValidation type="list" allowBlank="1" showInputMessage="1" showErrorMessage="1" xr:uid="{00000000-0002-0000-0100-000005000000}">
          <x14:formula1>
            <xm:f>CONTROLE!$B$28:$B$35</xm:f>
          </x14:formula1>
          <xm:sqref>H104:BE104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tabColor rgb="FF92D050"/>
  </sheetPr>
  <dimension ref="A1:Y11"/>
  <sheetViews>
    <sheetView showGridLines="0" topLeftCell="D1" zoomScale="80" zoomScaleNormal="80" workbookViewId="0">
      <selection activeCell="C1" sqref="A1:C1048576"/>
    </sheetView>
  </sheetViews>
  <sheetFormatPr defaultRowHeight="15" x14ac:dyDescent="0.25"/>
  <cols>
    <col min="1" max="3" width="15" hidden="1" customWidth="1"/>
    <col min="4" max="4" width="14.28515625" bestFit="1" customWidth="1"/>
    <col min="5" max="5" width="15.5703125" bestFit="1" customWidth="1"/>
    <col min="6" max="6" width="60.7109375" bestFit="1" customWidth="1"/>
    <col min="7" max="7" width="13" bestFit="1" customWidth="1"/>
    <col min="8" max="8" width="30.85546875" bestFit="1" customWidth="1"/>
    <col min="9" max="9" width="19.140625" bestFit="1" customWidth="1"/>
    <col min="10" max="10" width="18.28515625" bestFit="1" customWidth="1"/>
    <col min="11" max="11" width="10" bestFit="1" customWidth="1"/>
    <col min="12" max="12" width="12" bestFit="1" customWidth="1"/>
    <col min="13" max="13" width="15.85546875" bestFit="1" customWidth="1"/>
    <col min="14" max="14" width="8.7109375" bestFit="1" customWidth="1"/>
    <col min="15" max="15" width="17.85546875" style="2" customWidth="1"/>
    <col min="16" max="16" width="17" bestFit="1" customWidth="1"/>
    <col min="17" max="17" width="22.85546875" bestFit="1" customWidth="1"/>
    <col min="18" max="18" width="13.5703125" bestFit="1" customWidth="1"/>
    <col min="19" max="19" width="20.28515625" bestFit="1" customWidth="1"/>
    <col min="20" max="20" width="23.5703125" bestFit="1" customWidth="1"/>
    <col min="21" max="21" width="20" bestFit="1" customWidth="1"/>
    <col min="22" max="22" width="255.7109375" bestFit="1" customWidth="1"/>
    <col min="23" max="23" width="65" bestFit="1" customWidth="1"/>
    <col min="24" max="24" width="18.140625" bestFit="1" customWidth="1"/>
    <col min="25" max="25" width="11.5703125" bestFit="1" customWidth="1"/>
  </cols>
  <sheetData>
    <row r="1" spans="2:25" ht="36.75" customHeight="1" x14ac:dyDescent="0.25">
      <c r="D1" s="227" t="str">
        <f>INPUT!N59</f>
        <v>Laudo de Devolução Negada</v>
      </c>
      <c r="E1" s="228"/>
      <c r="F1" s="228"/>
      <c r="G1" s="228"/>
      <c r="H1" s="228"/>
      <c r="I1" s="228"/>
      <c r="J1" s="228"/>
      <c r="K1" s="228"/>
      <c r="L1" s="228"/>
      <c r="M1" s="228"/>
      <c r="N1" s="4"/>
    </row>
    <row r="2" spans="2:25" ht="40.5" customHeight="1" x14ac:dyDescent="0.25">
      <c r="B2" s="2"/>
      <c r="C2" s="2"/>
      <c r="D2" s="56" t="str">
        <f>INPUT!CF59</f>
        <v>Nº Relatório</v>
      </c>
      <c r="E2" s="56" t="str">
        <f>INPUT!CG59</f>
        <v>Canal de Venda:</v>
      </c>
      <c r="F2" s="56" t="str">
        <f>INPUT!CH59</f>
        <v>Descrição do Produto:</v>
      </c>
      <c r="G2" s="56" t="str">
        <f>INPUT!CI59</f>
        <v>NF de Venda:</v>
      </c>
      <c r="H2" s="56" t="str">
        <f>INPUT!CJ59</f>
        <v>Nº Pedido:</v>
      </c>
      <c r="I2" s="56" t="str">
        <f>INPUT!CK59</f>
        <v>Data da Solicitação:</v>
      </c>
      <c r="J2" s="56" t="str">
        <f>INPUT!CL59</f>
        <v>Código do Produto:</v>
      </c>
      <c r="K2" s="56" t="str">
        <f>INPUT!CM59</f>
        <v>Tamanho:</v>
      </c>
      <c r="L2" s="56" t="str">
        <f>INPUT!CN59</f>
        <v>Quantidade:</v>
      </c>
      <c r="M2" s="56" t="str">
        <f>INPUT!CO59</f>
        <v>Nome do Cliente:</v>
      </c>
      <c r="N2" s="56" t="str">
        <f>INPUT!CP59</f>
        <v>Mau uso</v>
      </c>
      <c r="O2" s="56" t="str">
        <f>INPUT!CQ59</f>
        <v>Lavagem incorreta</v>
      </c>
      <c r="P2" s="56" t="str">
        <f>INPUT!CR59</f>
        <v>Indícios de uso do produto</v>
      </c>
      <c r="Q2" s="56" t="str">
        <f>INPUT!CS59</f>
        <v>Indícios de avaria na abertura da embalagem</v>
      </c>
      <c r="R2" s="56" t="str">
        <f>INPUT!CT59</f>
        <v>Produto personalizado</v>
      </c>
      <c r="S2" s="56" t="str">
        <f>INPUT!CU59</f>
        <v>Não enviado junto ao produto</v>
      </c>
      <c r="T2" s="56" t="str">
        <f>INPUT!CV59</f>
        <v>Indícios de uso do brinde</v>
      </c>
      <c r="U2" s="56" t="str">
        <f>INPUT!CW59</f>
        <v>Cliente aceitou a encomenda avariada</v>
      </c>
      <c r="V2" s="56" t="str">
        <f>INPUT!CX59</f>
        <v>Justificativa (Detalhes da situação, análise e conclusões)</v>
      </c>
      <c r="W2" s="56" t="str">
        <f>INPUT!CY59</f>
        <v>Destinação:</v>
      </c>
      <c r="X2" s="56" t="str">
        <f>INPUT!CZ59</f>
        <v>Análise Técnica Efetuada por:</v>
      </c>
      <c r="Y2" s="56" t="str">
        <f>INPUT!DA59</f>
        <v>Data:</v>
      </c>
    </row>
    <row r="3" spans="2:25" ht="40.5" customHeight="1" x14ac:dyDescent="0.25">
      <c r="B3" s="8"/>
      <c r="C3" s="8"/>
      <c r="D3" s="22" t="str">
        <f>INPUT!$CD$61</f>
        <v>120620124816</v>
      </c>
      <c r="E3" s="23">
        <f>INPUT!$CG$61</f>
        <v>0</v>
      </c>
      <c r="F3" s="23">
        <f>INPUT!$CH$61</f>
        <v>0</v>
      </c>
      <c r="G3" s="23">
        <f>INPUT!$CI$61</f>
        <v>0</v>
      </c>
      <c r="H3" s="24">
        <f>INPUT!$CJ$61</f>
        <v>0</v>
      </c>
      <c r="I3" s="57">
        <f>INPUT!$CK$61</f>
        <v>0</v>
      </c>
      <c r="J3" s="25">
        <f>INPUT!$CL$61</f>
        <v>0</v>
      </c>
      <c r="K3" s="25">
        <f>INPUT!$CM$61</f>
        <v>0</v>
      </c>
      <c r="L3" s="25">
        <f>INPUT!$CN$61</f>
        <v>0</v>
      </c>
      <c r="M3" s="62">
        <f>INPUT!$CO$61</f>
        <v>0</v>
      </c>
      <c r="N3" s="25">
        <f>INPUT!$CP$61</f>
        <v>0</v>
      </c>
      <c r="O3" s="25">
        <f>INPUT!$CQ$61</f>
        <v>0</v>
      </c>
      <c r="P3" s="25">
        <f>INPUT!$CR$61</f>
        <v>0</v>
      </c>
      <c r="Q3" s="25">
        <f>INPUT!$CS$61</f>
        <v>0</v>
      </c>
      <c r="R3" s="25">
        <f>INPUT!$CT$61</f>
        <v>0</v>
      </c>
      <c r="S3" s="25">
        <f>INPUT!$CU$61</f>
        <v>0</v>
      </c>
      <c r="T3" s="25">
        <f>INPUT!$CV$61</f>
        <v>0</v>
      </c>
      <c r="U3" s="25">
        <f>INPUT!$CW$61</f>
        <v>0</v>
      </c>
      <c r="V3" s="25" t="str">
        <f>INPUT!$CX$61</f>
        <v>NÃO DIGITAR - PREENCHIMENTO AUTOMATICO QUANDO O CRITÉRIO FOR SELECIONADO</v>
      </c>
      <c r="W3" s="25">
        <f>INPUT!$CY$61</f>
        <v>0</v>
      </c>
      <c r="X3" s="25">
        <f>INPUT!$CZ$61</f>
        <v>0</v>
      </c>
      <c r="Y3" s="62">
        <f ca="1">INPUT!$DA$61</f>
        <v>43994</v>
      </c>
    </row>
    <row r="4" spans="2:25" ht="40.5" customHeight="1" x14ac:dyDescent="0.25">
      <c r="B4" s="8"/>
      <c r="C4" s="8"/>
      <c r="D4" s="22" t="s">
        <v>160</v>
      </c>
      <c r="E4" s="23" t="s">
        <v>42</v>
      </c>
      <c r="F4" s="23" t="s">
        <v>155</v>
      </c>
      <c r="G4" s="23">
        <v>2408584</v>
      </c>
      <c r="H4" s="24" t="s">
        <v>156</v>
      </c>
      <c r="I4" s="57">
        <v>43979</v>
      </c>
      <c r="J4" s="25" t="s">
        <v>157</v>
      </c>
      <c r="K4" s="25" t="s">
        <v>158</v>
      </c>
      <c r="L4" s="25" t="s">
        <v>115</v>
      </c>
      <c r="M4" s="62" t="s">
        <v>159</v>
      </c>
      <c r="N4" s="25">
        <v>0</v>
      </c>
      <c r="O4" s="25">
        <v>0</v>
      </c>
      <c r="P4" s="25">
        <v>0</v>
      </c>
      <c r="Q4" s="25">
        <v>0</v>
      </c>
      <c r="R4" s="25">
        <v>0</v>
      </c>
      <c r="S4" s="25">
        <v>0</v>
      </c>
      <c r="T4" s="25">
        <v>0</v>
      </c>
      <c r="U4" s="25">
        <v>0</v>
      </c>
      <c r="V4" s="25" t="s">
        <v>106</v>
      </c>
      <c r="W4" s="25" t="s">
        <v>40</v>
      </c>
      <c r="X4" s="25" t="s">
        <v>53</v>
      </c>
      <c r="Y4" s="62">
        <v>43994</v>
      </c>
    </row>
    <row r="5" spans="2:25" ht="40.5" customHeight="1" x14ac:dyDescent="0.25">
      <c r="B5" s="8"/>
      <c r="C5" s="8"/>
      <c r="D5" s="22" t="s">
        <v>154</v>
      </c>
      <c r="E5" s="23" t="s">
        <v>42</v>
      </c>
      <c r="F5" s="23" t="s">
        <v>149</v>
      </c>
      <c r="G5" s="23">
        <v>2384921</v>
      </c>
      <c r="H5" s="24" t="s">
        <v>150</v>
      </c>
      <c r="I5" s="57">
        <v>43977</v>
      </c>
      <c r="J5" s="25" t="s">
        <v>151</v>
      </c>
      <c r="K5" s="25" t="s">
        <v>152</v>
      </c>
      <c r="L5" s="25" t="s">
        <v>115</v>
      </c>
      <c r="M5" s="62" t="s">
        <v>153</v>
      </c>
      <c r="N5" s="25">
        <v>0</v>
      </c>
      <c r="O5" s="25">
        <v>0</v>
      </c>
      <c r="P5" s="25">
        <v>0</v>
      </c>
      <c r="Q5" s="25">
        <v>0</v>
      </c>
      <c r="R5" s="25">
        <v>0</v>
      </c>
      <c r="S5" s="25">
        <v>0</v>
      </c>
      <c r="T5" s="25">
        <v>0</v>
      </c>
      <c r="U5" s="25">
        <v>0</v>
      </c>
      <c r="V5" s="25" t="s">
        <v>106</v>
      </c>
      <c r="W5" s="25" t="s">
        <v>40</v>
      </c>
      <c r="X5" s="25" t="s">
        <v>51</v>
      </c>
      <c r="Y5" s="62">
        <v>43986</v>
      </c>
    </row>
    <row r="6" spans="2:25" ht="40.5" customHeight="1" x14ac:dyDescent="0.25">
      <c r="B6" s="8"/>
      <c r="C6" s="8"/>
      <c r="D6" s="22" t="s">
        <v>145</v>
      </c>
      <c r="E6" s="23" t="s">
        <v>42</v>
      </c>
      <c r="F6" s="23" t="s">
        <v>140</v>
      </c>
      <c r="G6" s="23">
        <v>2384750</v>
      </c>
      <c r="H6" s="24" t="s">
        <v>141</v>
      </c>
      <c r="I6" s="57">
        <v>43966</v>
      </c>
      <c r="J6" s="25" t="s">
        <v>142</v>
      </c>
      <c r="K6" s="25" t="s">
        <v>114</v>
      </c>
      <c r="L6" s="25" t="s">
        <v>115</v>
      </c>
      <c r="M6" s="62" t="s">
        <v>143</v>
      </c>
      <c r="N6" s="25" t="s">
        <v>144</v>
      </c>
      <c r="O6" s="25">
        <v>0</v>
      </c>
      <c r="P6" s="25">
        <v>0</v>
      </c>
      <c r="Q6" s="25">
        <v>0</v>
      </c>
      <c r="R6" s="25">
        <v>0</v>
      </c>
      <c r="S6" s="25">
        <v>0</v>
      </c>
      <c r="T6" s="25">
        <v>0</v>
      </c>
      <c r="U6" s="25">
        <v>0</v>
      </c>
      <c r="V6" s="25" t="s">
        <v>95</v>
      </c>
      <c r="W6" s="25" t="s">
        <v>40</v>
      </c>
      <c r="X6" s="25" t="s">
        <v>53</v>
      </c>
      <c r="Y6" s="62">
        <v>43981</v>
      </c>
    </row>
    <row r="7" spans="2:25" ht="40.5" customHeight="1" x14ac:dyDescent="0.25">
      <c r="B7" s="8"/>
      <c r="C7" s="8"/>
      <c r="D7" s="22" t="s">
        <v>139</v>
      </c>
      <c r="E7" s="23" t="s">
        <v>42</v>
      </c>
      <c r="F7" s="23" t="s">
        <v>135</v>
      </c>
      <c r="G7" s="23">
        <v>2398553</v>
      </c>
      <c r="H7" s="24" t="s">
        <v>136</v>
      </c>
      <c r="I7" s="57">
        <v>43972</v>
      </c>
      <c r="J7" s="25" t="s">
        <v>137</v>
      </c>
      <c r="K7" s="25">
        <v>36</v>
      </c>
      <c r="L7" s="25" t="s">
        <v>115</v>
      </c>
      <c r="M7" s="62" t="s">
        <v>138</v>
      </c>
      <c r="N7" s="25" t="s">
        <v>117</v>
      </c>
      <c r="O7" s="25">
        <v>0</v>
      </c>
      <c r="P7" s="25">
        <v>0</v>
      </c>
      <c r="Q7" s="25">
        <v>0</v>
      </c>
      <c r="R7" s="25">
        <v>0</v>
      </c>
      <c r="S7" s="25">
        <v>0</v>
      </c>
      <c r="T7" s="25">
        <v>0</v>
      </c>
      <c r="U7" s="25">
        <v>0</v>
      </c>
      <c r="V7" s="25" t="s">
        <v>95</v>
      </c>
      <c r="W7" s="25" t="s">
        <v>40</v>
      </c>
      <c r="X7" s="25" t="s">
        <v>17</v>
      </c>
      <c r="Y7" s="62">
        <v>43981</v>
      </c>
    </row>
    <row r="8" spans="2:25" ht="40.5" customHeight="1" x14ac:dyDescent="0.25">
      <c r="B8" s="8"/>
      <c r="C8" s="8"/>
      <c r="D8" s="22" t="s">
        <v>134</v>
      </c>
      <c r="E8" s="23" t="s">
        <v>42</v>
      </c>
      <c r="F8" s="23" t="s">
        <v>129</v>
      </c>
      <c r="G8" s="23">
        <v>2394210</v>
      </c>
      <c r="H8" s="24" t="s">
        <v>130</v>
      </c>
      <c r="I8" s="57">
        <v>43969</v>
      </c>
      <c r="J8" s="25" t="s">
        <v>131</v>
      </c>
      <c r="K8" s="25" t="s">
        <v>132</v>
      </c>
      <c r="L8" s="25" t="s">
        <v>115</v>
      </c>
      <c r="M8" s="62" t="s">
        <v>133</v>
      </c>
      <c r="N8" s="25">
        <v>0</v>
      </c>
      <c r="O8" s="25">
        <v>0</v>
      </c>
      <c r="P8" s="25">
        <v>0</v>
      </c>
      <c r="Q8" s="25">
        <v>0</v>
      </c>
      <c r="R8" s="25">
        <v>0</v>
      </c>
      <c r="S8" s="25">
        <v>0</v>
      </c>
      <c r="T8" s="25">
        <v>0</v>
      </c>
      <c r="U8" s="25">
        <v>0</v>
      </c>
      <c r="V8" s="25" t="s">
        <v>106</v>
      </c>
      <c r="W8" s="25" t="s">
        <v>40</v>
      </c>
      <c r="X8" s="25" t="s">
        <v>17</v>
      </c>
      <c r="Y8" s="62">
        <v>43981</v>
      </c>
    </row>
    <row r="9" spans="2:25" ht="40.5" customHeight="1" x14ac:dyDescent="0.25">
      <c r="B9" s="8"/>
      <c r="C9" s="8"/>
      <c r="D9" s="22" t="s">
        <v>128</v>
      </c>
      <c r="E9" s="23" t="s">
        <v>42</v>
      </c>
      <c r="F9" s="23" t="s">
        <v>124</v>
      </c>
      <c r="G9" s="23">
        <v>2343567</v>
      </c>
      <c r="H9" s="24" t="s">
        <v>125</v>
      </c>
      <c r="I9" s="57">
        <v>43966</v>
      </c>
      <c r="J9" s="25" t="s">
        <v>126</v>
      </c>
      <c r="K9" s="25">
        <v>40</v>
      </c>
      <c r="L9" s="25" t="s">
        <v>115</v>
      </c>
      <c r="M9" s="62" t="s">
        <v>127</v>
      </c>
      <c r="N9" s="25">
        <v>0</v>
      </c>
      <c r="O9" s="25">
        <v>0</v>
      </c>
      <c r="P9" s="25" t="s">
        <v>117</v>
      </c>
      <c r="Q9" s="25">
        <v>0</v>
      </c>
      <c r="R9" s="25">
        <v>0</v>
      </c>
      <c r="S9" s="25">
        <v>0</v>
      </c>
      <c r="T9" s="25">
        <v>0</v>
      </c>
      <c r="U9" s="25">
        <v>0</v>
      </c>
      <c r="V9" s="25" t="s">
        <v>97</v>
      </c>
      <c r="W9" s="25" t="s">
        <v>40</v>
      </c>
      <c r="X9" s="25" t="s">
        <v>51</v>
      </c>
      <c r="Y9" s="62">
        <v>43981</v>
      </c>
    </row>
    <row r="10" spans="2:25" ht="40.5" customHeight="1" x14ac:dyDescent="0.25">
      <c r="B10" s="8"/>
      <c r="C10" s="8"/>
      <c r="D10" s="22" t="s">
        <v>123</v>
      </c>
      <c r="E10" s="23" t="s">
        <v>42</v>
      </c>
      <c r="F10" s="23" t="s">
        <v>119</v>
      </c>
      <c r="G10" s="23">
        <v>2385361</v>
      </c>
      <c r="H10" s="24" t="s">
        <v>120</v>
      </c>
      <c r="I10" s="57">
        <v>43966</v>
      </c>
      <c r="J10" s="25" t="s">
        <v>121</v>
      </c>
      <c r="K10" s="25">
        <v>10</v>
      </c>
      <c r="L10" s="25" t="s">
        <v>115</v>
      </c>
      <c r="M10" s="62" t="s">
        <v>122</v>
      </c>
      <c r="N10" s="25">
        <v>0</v>
      </c>
      <c r="O10" s="25">
        <v>0</v>
      </c>
      <c r="P10" s="25">
        <v>0</v>
      </c>
      <c r="Q10" s="25">
        <v>0</v>
      </c>
      <c r="R10" s="25">
        <v>0</v>
      </c>
      <c r="S10" s="25">
        <v>0</v>
      </c>
      <c r="T10" s="25">
        <v>0</v>
      </c>
      <c r="U10" s="25">
        <v>0</v>
      </c>
      <c r="V10" s="25" t="s">
        <v>106</v>
      </c>
      <c r="W10" s="25" t="s">
        <v>40</v>
      </c>
      <c r="X10" s="25" t="s">
        <v>51</v>
      </c>
      <c r="Y10" s="62">
        <v>43981</v>
      </c>
    </row>
    <row r="11" spans="2:25" ht="40.5" customHeight="1" x14ac:dyDescent="0.25">
      <c r="B11" s="8"/>
      <c r="C11" s="8"/>
      <c r="D11" s="22" t="s">
        <v>118</v>
      </c>
      <c r="E11" s="23" t="s">
        <v>42</v>
      </c>
      <c r="F11" s="23" t="s">
        <v>111</v>
      </c>
      <c r="G11" s="23">
        <v>2389307</v>
      </c>
      <c r="H11" s="24" t="s">
        <v>112</v>
      </c>
      <c r="I11" s="57">
        <v>43967</v>
      </c>
      <c r="J11" s="25" t="s">
        <v>113</v>
      </c>
      <c r="K11" s="25" t="s">
        <v>114</v>
      </c>
      <c r="L11" s="25" t="s">
        <v>115</v>
      </c>
      <c r="M11" s="62" t="s">
        <v>116</v>
      </c>
      <c r="N11" s="25">
        <v>0</v>
      </c>
      <c r="O11" s="25">
        <v>0</v>
      </c>
      <c r="P11" s="25">
        <v>0</v>
      </c>
      <c r="Q11" s="25">
        <v>0</v>
      </c>
      <c r="R11" s="25" t="s">
        <v>117</v>
      </c>
      <c r="S11" s="25">
        <v>0</v>
      </c>
      <c r="T11" s="25">
        <v>0</v>
      </c>
      <c r="U11" s="25">
        <v>0</v>
      </c>
      <c r="V11" s="25" t="s">
        <v>98</v>
      </c>
      <c r="W11" s="25" t="s">
        <v>40</v>
      </c>
      <c r="X11" s="25" t="s">
        <v>51</v>
      </c>
      <c r="Y11" s="62">
        <v>43981</v>
      </c>
    </row>
  </sheetData>
  <mergeCells count="1">
    <mergeCell ref="D1:M1"/>
  </mergeCells>
  <pageMargins left="0.511811024" right="0.511811024" top="0.78740157499999996" bottom="0.78740157499999996" header="0.31496062000000002" footer="0.31496062000000002"/>
  <pageSetup paperSize="9" scale="90"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INSTRUÇÕES</vt:lpstr>
      <vt:lpstr>CONTROLE</vt:lpstr>
      <vt:lpstr>INPUT</vt:lpstr>
      <vt:lpstr>DADOS</vt:lpstr>
      <vt:lpstr>DADOS!Area_de_impressao</vt:lpstr>
      <vt:lpstr>INPUT!Area_de_impressao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Fut Fanatics</dc:creator>
  <cp:lastModifiedBy>FutFanatics</cp:lastModifiedBy>
  <cp:lastPrinted>2020-06-12T15:48:21Z</cp:lastPrinted>
  <dcterms:created xsi:type="dcterms:W3CDTF">2018-05-22T18:06:45Z</dcterms:created>
  <dcterms:modified xsi:type="dcterms:W3CDTF">2020-06-12T15:50:27Z</dcterms:modified>
</cp:coreProperties>
</file>